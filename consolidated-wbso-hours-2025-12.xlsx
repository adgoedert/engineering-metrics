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2025-12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6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9</v>
      </c>
      <c r="E5" s="11" t="n">
        <v>6</v>
      </c>
      <c r="F5" s="12">
        <f>SUMIFS(Detail!$G$4:$G$116,Detail!$A$4:$A$116,$A5)</f>
        <v/>
      </c>
      <c r="G5" s="11" t="n">
        <v>146</v>
      </c>
      <c r="H5" s="12">
        <f>$G5*Assumptions!$B$5</f>
        <v/>
      </c>
      <c r="I5" s="13">
        <f>IFERROR($F5/$H5,0)</f>
        <v/>
      </c>
      <c r="J5" s="10" t="inlineStr">
        <is>
          <t>178.7h across 9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5</v>
      </c>
      <c r="E6" s="11" t="n">
        <v>5</v>
      </c>
      <c r="F6" s="12">
        <f>SUMIFS(Detail!$G$4:$G$116,Detail!$A$4:$A$116,$A6)</f>
        <v/>
      </c>
      <c r="G6" s="11" t="n">
        <v>108</v>
      </c>
      <c r="H6" s="12">
        <f>$G6*Assumptions!$B$5</f>
        <v/>
      </c>
      <c r="I6" s="13">
        <f>IFERROR($F6/$H6,0)</f>
        <v/>
      </c>
      <c r="J6" s="10" t="inlineStr">
        <is>
          <t>389.3h across 5 engineer(s)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12</v>
      </c>
      <c r="E7" s="11" t="n">
        <v>13</v>
      </c>
      <c r="F7" s="12">
        <f>SUMIFS(Detail!$G$4:$G$116,Detail!$A$4:$A$116,$A7)</f>
        <v/>
      </c>
      <c r="G7" s="11" t="n">
        <v>248</v>
      </c>
      <c r="H7" s="12">
        <f>$G7*Assumptions!$B$5</f>
        <v/>
      </c>
      <c r="I7" s="13">
        <f>IFERROR($F7/$H7,0)</f>
        <v/>
      </c>
      <c r="J7" s="10" t="inlineStr">
        <is>
          <t>243.9h across 12 engineer(s)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8</v>
      </c>
      <c r="E8" s="11" t="n">
        <v>25</v>
      </c>
      <c r="F8" s="12">
        <f>SUMIFS(Detail!$G$4:$G$116,Detail!$A$4:$A$116,$A8)</f>
        <v/>
      </c>
      <c r="G8" s="11" t="n">
        <v>132</v>
      </c>
      <c r="H8" s="12">
        <f>$G8*Assumptions!$B$5</f>
        <v/>
      </c>
      <c r="I8" s="13">
        <f>IFERROR($F8/$H8,0)</f>
        <v/>
      </c>
      <c r="J8" s="10" t="inlineStr">
        <is>
          <t>592.1h across 8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8</v>
      </c>
      <c r="E9" s="11" t="n">
        <v>18</v>
      </c>
      <c r="F9" s="12">
        <f>SUMIFS(Detail!$G$4:$G$116,Detail!$A$4:$A$116,$A9)</f>
        <v/>
      </c>
      <c r="G9" s="11" t="n">
        <v>156</v>
      </c>
      <c r="H9" s="12">
        <f>$G9*Assumptions!$B$5</f>
        <v/>
      </c>
      <c r="I9" s="13">
        <f>IFERROR($F9/$H9,0)</f>
        <v/>
      </c>
      <c r="J9" s="10" t="inlineStr">
        <is>
          <t>311.5h across 8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8</v>
      </c>
      <c r="E10" s="11" t="n">
        <v>29</v>
      </c>
      <c r="F10" s="12">
        <f>SUMIFS(Detail!$G$4:$G$116,Detail!$A$4:$A$116,$A10)</f>
        <v/>
      </c>
      <c r="G10" s="11" t="n">
        <v>123</v>
      </c>
      <c r="H10" s="12">
        <f>$G10*Assumptions!$B$5</f>
        <v/>
      </c>
      <c r="I10" s="13">
        <f>IFERROR($F10/$H10,0)</f>
        <v/>
      </c>
      <c r="J10" s="10" t="inlineStr">
        <is>
          <t>601.0h across 8 engineer(s)</t>
        </is>
      </c>
    </row>
    <row r="12">
      <c r="A12" s="3" t="inlineStr">
        <is>
          <t>ALL TEAMS</t>
        </is>
      </c>
      <c r="D12" s="14">
        <f>SUM(D5:D10)</f>
        <v/>
      </c>
      <c r="E12" s="14">
        <f>SUM(E5:E10)</f>
        <v/>
      </c>
      <c r="F12" s="15">
        <f>SUM(F5:F10)</f>
        <v/>
      </c>
      <c r="G12" s="14">
        <f>SUM(G5:G10)</f>
        <v/>
      </c>
      <c r="H12" s="15">
        <f>SUM(H5:H10)</f>
        <v/>
      </c>
      <c r="I12" s="16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2025-12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Basar Soker</t>
        </is>
      </c>
      <c r="B5" s="10" t="inlineStr">
        <is>
          <t>PT-421</t>
        </is>
      </c>
      <c r="C5" s="10" t="inlineStr">
        <is>
          <t>PT-421 Multi Region Implementation</t>
        </is>
      </c>
      <c r="D5" s="12">
        <f>SUMIFS(Detail!$G$4:$G$116,Detail!$A$4:$A$116,$A$2,Detail!$B$4:$B$116,$A5,Detail!$C$4:$C$116,$B5)</f>
        <v/>
      </c>
    </row>
    <row r="6">
      <c r="A6" s="10" t="inlineStr">
        <is>
          <t>alan.silva</t>
        </is>
      </c>
      <c r="B6" s="10" t="inlineStr">
        <is>
          <t>PT-351</t>
        </is>
      </c>
      <c r="C6" s="10" t="inlineStr">
        <is>
          <t>PT-351 VOP File Check Improvements</t>
        </is>
      </c>
      <c r="D6" s="12">
        <f>SUMIFS(Detail!$G$4:$G$116,Detail!$A$4:$A$116,$A$2,Detail!$B$4:$B$116,$A6,Detail!$C$4:$C$116,$B6)</f>
        <v/>
      </c>
    </row>
    <row r="7">
      <c r="A7" s="10" t="inlineStr">
        <is>
          <t>alan.silva</t>
        </is>
      </c>
      <c r="B7" s="10" t="inlineStr">
        <is>
          <t>PT-421</t>
        </is>
      </c>
      <c r="C7" s="10" t="inlineStr">
        <is>
          <t>PT-421 Multi Region Implementation</t>
        </is>
      </c>
      <c r="D7" s="12">
        <f>SUMIFS(Detail!$G$4:$G$116,Detail!$A$4:$A$116,$A$2,Detail!$B$4:$B$116,$A7,Detail!$C$4:$C$116,$B7)</f>
        <v/>
      </c>
    </row>
    <row r="8">
      <c r="A8" s="10" t="inlineStr">
        <is>
          <t>Fabio Santos</t>
        </is>
      </c>
      <c r="B8" s="10" t="inlineStr">
        <is>
          <t>PT-351</t>
        </is>
      </c>
      <c r="C8" s="10" t="inlineStr">
        <is>
          <t>PT-351 VOP File Check Improvements</t>
        </is>
      </c>
      <c r="D8" s="12">
        <f>SUMIFS(Detail!$G$4:$G$116,Detail!$A$4:$A$116,$A$2,Detail!$B$4:$B$116,$A8,Detail!$C$4:$C$116,$B8)</f>
        <v/>
      </c>
    </row>
    <row r="9">
      <c r="A9" s="10" t="inlineStr">
        <is>
          <t>Vitor Fernandes</t>
        </is>
      </c>
      <c r="B9" s="10" t="inlineStr">
        <is>
          <t>PT-421</t>
        </is>
      </c>
      <c r="C9" s="10" t="inlineStr">
        <is>
          <t>PT-421 Multi Region Implementation</t>
        </is>
      </c>
      <c r="D9" s="12">
        <f>SUMIFS(Detail!$G$4:$G$116,Detail!$A$4:$A$116,$A$2,Detail!$B$4:$B$116,$A9,Detail!$C$4:$C$116,$B9)</f>
        <v/>
      </c>
    </row>
    <row r="10">
      <c r="A10" s="17" t="n"/>
      <c r="B10" s="17" t="n"/>
      <c r="C10" s="18" t="inlineStr">
        <is>
          <t>TEAM TOTAL</t>
        </is>
      </c>
      <c r="D10" s="19">
        <f>SUM(D5:D9)</f>
        <v/>
      </c>
    </row>
    <row r="13">
      <c r="A13" s="6" t="inlineStr">
        <is>
          <t>Per engineer</t>
        </is>
      </c>
    </row>
    <row r="14">
      <c r="A14" s="9" t="inlineStr">
        <is>
          <t>Engineer</t>
        </is>
      </c>
      <c r="B14" s="9" t="inlineStr">
        <is>
          <t>WBSO hours</t>
        </is>
      </c>
      <c r="C14" s="9" t="inlineStr">
        <is>
          <t>Day equivalent</t>
        </is>
      </c>
      <c r="D14" s="9" t="inlineStr">
        <is>
          <t>Active days</t>
        </is>
      </c>
      <c r="E14" s="9" t="inlineStr">
        <is>
          <t>Capacity hours</t>
        </is>
      </c>
      <c r="F14" s="9" t="inlineStr">
        <is>
          <t>WBSO share</t>
        </is>
      </c>
      <c r="G14" s="9" t="inlineStr">
        <is>
          <t>Peak tickets/day</t>
        </is>
      </c>
    </row>
    <row r="15">
      <c r="A15" s="10" t="inlineStr">
        <is>
          <t>Basar Soker</t>
        </is>
      </c>
      <c r="B15" s="12">
        <f>SUMIFS(Detail!$G$4:$G$116,Detail!$A$4:$A$116,$A$2,Detail!$B$4:$B$116,$A15)</f>
        <v/>
      </c>
      <c r="C15" s="12">
        <f>IFERROR($B15/Assumptions!$B$5,0)</f>
        <v/>
      </c>
      <c r="D15" s="11" t="n">
        <v>24</v>
      </c>
      <c r="E15" s="12">
        <f>$D15*Assumptions!$B$5</f>
        <v/>
      </c>
      <c r="F15" s="13">
        <f>IFERROR($B15/$E15,0)</f>
        <v/>
      </c>
      <c r="G15" s="11" t="inlineStr">
        <is>
          <t>8 on 09 Dec</t>
        </is>
      </c>
    </row>
    <row r="16">
      <c r="A16" s="10" t="inlineStr">
        <is>
          <t>alan.silva</t>
        </is>
      </c>
      <c r="B16" s="12">
        <f>SUMIFS(Detail!$G$4:$G$116,Detail!$A$4:$A$116,$A$2,Detail!$B$4:$B$116,$A16)</f>
        <v/>
      </c>
      <c r="C16" s="12">
        <f>IFERROR($B16/Assumptions!$B$5,0)</f>
        <v/>
      </c>
      <c r="D16" s="11" t="n">
        <v>23</v>
      </c>
      <c r="E16" s="12">
        <f>$D16*Assumptions!$B$5</f>
        <v/>
      </c>
      <c r="F16" s="13">
        <f>IFERROR($B16/$E16,0)</f>
        <v/>
      </c>
      <c r="G16" s="11" t="inlineStr">
        <is>
          <t>5 on 16 Dec</t>
        </is>
      </c>
    </row>
    <row r="17">
      <c r="A17" s="10" t="inlineStr">
        <is>
          <t>Fabio Santos</t>
        </is>
      </c>
      <c r="B17" s="12">
        <f>SUMIFS(Detail!$G$4:$G$116,Detail!$A$4:$A$116,$A$2,Detail!$B$4:$B$116,$A17)</f>
        <v/>
      </c>
      <c r="C17" s="12">
        <f>IFERROR($B17/Assumptions!$B$5,0)</f>
        <v/>
      </c>
      <c r="D17" s="11" t="n">
        <v>24</v>
      </c>
      <c r="E17" s="12">
        <f>$D17*Assumptions!$B$5</f>
        <v/>
      </c>
      <c r="F17" s="13">
        <f>IFERROR($B17/$E17,0)</f>
        <v/>
      </c>
      <c r="G17" s="11" t="inlineStr">
        <is>
          <t>7 on 22 Dec</t>
        </is>
      </c>
    </row>
    <row r="18">
      <c r="A18" s="10" t="inlineStr">
        <is>
          <t>Vitor Fernandes</t>
        </is>
      </c>
      <c r="B18" s="12">
        <f>SUMIFS(Detail!$G$4:$G$116,Detail!$A$4:$A$116,$A$2,Detail!$B$4:$B$116,$A18)</f>
        <v/>
      </c>
      <c r="C18" s="12">
        <f>IFERROR($B18/Assumptions!$B$5,0)</f>
        <v/>
      </c>
      <c r="D18" s="11" t="n">
        <v>24</v>
      </c>
      <c r="E18" s="12">
        <f>$D18*Assumptions!$B$5</f>
        <v/>
      </c>
      <c r="F18" s="13">
        <f>IFERROR($B18/$E18,0)</f>
        <v/>
      </c>
      <c r="G18" s="11" t="inlineStr">
        <is>
          <t>7 on 03 Dec</t>
        </is>
      </c>
    </row>
    <row r="19">
      <c r="A19" s="3" t="inlineStr">
        <is>
          <t>TOTAL</t>
        </is>
      </c>
      <c r="B19" s="15">
        <f>SUM(B15:B18)</f>
        <v/>
      </c>
      <c r="C19" s="15">
        <f>SUM(C15:C18)</f>
        <v/>
      </c>
      <c r="D19" s="15">
        <f>SUM(D15:D18)</f>
        <v/>
      </c>
      <c r="E19" s="15">
        <f>SUM(E15:E18)</f>
        <v/>
      </c>
      <c r="F19" s="16">
        <f>IFERROR($B19/$E19,0)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Platform Team 6 — WBSO hours, 2025-12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Venkata Mannam</t>
        </is>
      </c>
      <c r="B5" s="10" t="inlineStr">
        <is>
          <t>PT6-1419</t>
        </is>
      </c>
      <c r="C5" s="10" t="inlineStr">
        <is>
          <t>PT6-1419 Traefik migration V3</t>
        </is>
      </c>
      <c r="D5" s="12">
        <f>SUMIFS(Detail!$G$4:$G$116,Detail!$A$4:$A$116,$A$2,Detail!$B$4:$B$116,$A5,Detail!$C$4:$C$116,$B5)</f>
        <v/>
      </c>
    </row>
    <row r="6">
      <c r="A6" s="10" t="inlineStr">
        <is>
          <t>Venkata Mannam</t>
        </is>
      </c>
      <c r="B6" s="10" t="inlineStr">
        <is>
          <t>PT6-1670</t>
        </is>
      </c>
      <c r="C6" s="10" t="inlineStr">
        <is>
          <t xml:space="preserve">PT6-1670 Multi region </t>
        </is>
      </c>
      <c r="D6" s="12">
        <f>SUMIFS(Detail!$G$4:$G$116,Detail!$A$4:$A$116,$A$2,Detail!$B$4:$B$116,$A6,Detail!$C$4:$C$116,$B6)</f>
        <v/>
      </c>
    </row>
    <row r="7">
      <c r="A7" s="10" t="inlineStr">
        <is>
          <t>Venkata Mannam</t>
        </is>
      </c>
      <c r="B7" s="10" t="inlineStr">
        <is>
          <t>PT6-1911</t>
        </is>
      </c>
      <c r="C7" s="10" t="inlineStr">
        <is>
          <t>PT6-1911 Observability</t>
        </is>
      </c>
      <c r="D7" s="12">
        <f>SUMIFS(Detail!$G$4:$G$116,Detail!$A$4:$A$116,$A$2,Detail!$B$4:$B$116,$A7,Detail!$C$4:$C$116,$B7)</f>
        <v/>
      </c>
    </row>
    <row r="8">
      <c r="A8" s="10" t="inlineStr">
        <is>
          <t>Elton Qevani</t>
        </is>
      </c>
      <c r="B8" s="10" t="inlineStr">
        <is>
          <t>PT6-1670</t>
        </is>
      </c>
      <c r="C8" s="10" t="inlineStr">
        <is>
          <t xml:space="preserve">PT6-1670 Multi region </t>
        </is>
      </c>
      <c r="D8" s="12">
        <f>SUMIFS(Detail!$G$4:$G$116,Detail!$A$4:$A$116,$A$2,Detail!$B$4:$B$116,$A8,Detail!$C$4:$C$116,$B8)</f>
        <v/>
      </c>
    </row>
    <row r="9">
      <c r="A9" s="10" t="inlineStr">
        <is>
          <t>Elton Qevani</t>
        </is>
      </c>
      <c r="B9" s="10" t="inlineStr">
        <is>
          <t>PT6-1710</t>
        </is>
      </c>
      <c r="C9" s="10" t="inlineStr">
        <is>
          <t xml:space="preserve">PT6-1710 K8s/Traefik Enhancements  </t>
        </is>
      </c>
      <c r="D9" s="12">
        <f>SUMIFS(Detail!$G$4:$G$116,Detail!$A$4:$A$116,$A$2,Detail!$B$4:$B$116,$A9,Detail!$C$4:$C$116,$B9)</f>
        <v/>
      </c>
    </row>
    <row r="10">
      <c r="A10" s="10" t="inlineStr">
        <is>
          <t>Elton Qevani</t>
        </is>
      </c>
      <c r="B10" s="10" t="inlineStr">
        <is>
          <t>PT6-1911</t>
        </is>
      </c>
      <c r="C10" s="10" t="inlineStr">
        <is>
          <t>PT6-1911 Observability</t>
        </is>
      </c>
      <c r="D10" s="12">
        <f>SUMIFS(Detail!$G$4:$G$116,Detail!$A$4:$A$116,$A$2,Detail!$B$4:$B$116,$A10,Detail!$C$4:$C$116,$B10)</f>
        <v/>
      </c>
    </row>
    <row r="11">
      <c r="A11" s="10" t="inlineStr">
        <is>
          <t>Mete Han Karacüllü</t>
        </is>
      </c>
      <c r="B11" s="10" t="inlineStr">
        <is>
          <t>PT6-1670</t>
        </is>
      </c>
      <c r="C11" s="10" t="inlineStr">
        <is>
          <t xml:space="preserve">PT6-1670 Multi region </t>
        </is>
      </c>
      <c r="D11" s="12">
        <f>SUMIFS(Detail!$G$4:$G$116,Detail!$A$4:$A$116,$A$2,Detail!$B$4:$B$116,$A11,Detail!$C$4:$C$116,$B11)</f>
        <v/>
      </c>
    </row>
    <row r="12">
      <c r="A12" s="10" t="inlineStr">
        <is>
          <t>Iakovos Belonias</t>
        </is>
      </c>
      <c r="B12" s="10" t="inlineStr">
        <is>
          <t>PT6-1419</t>
        </is>
      </c>
      <c r="C12" s="10" t="inlineStr">
        <is>
          <t>PT6-1419 Traefik migration V3</t>
        </is>
      </c>
      <c r="D12" s="12">
        <f>SUMIFS(Detail!$G$4:$G$116,Detail!$A$4:$A$116,$A$2,Detail!$B$4:$B$116,$A12,Detail!$C$4:$C$116,$B12)</f>
        <v/>
      </c>
    </row>
    <row r="13">
      <c r="A13" s="10" t="inlineStr">
        <is>
          <t>Iakovos Belonias</t>
        </is>
      </c>
      <c r="B13" s="10" t="inlineStr">
        <is>
          <t>PT6-1911</t>
        </is>
      </c>
      <c r="C13" s="10" t="inlineStr">
        <is>
          <t>PT6-1911 Observability</t>
        </is>
      </c>
      <c r="D13" s="12">
        <f>SUMIFS(Detail!$G$4:$G$116,Detail!$A$4:$A$116,$A$2,Detail!$B$4:$B$116,$A13,Detail!$C$4:$C$116,$B13)</f>
        <v/>
      </c>
    </row>
    <row r="14">
      <c r="A14" s="17" t="n"/>
      <c r="B14" s="17" t="n"/>
      <c r="C14" s="18" t="inlineStr">
        <is>
          <t>TEAM TOTAL</t>
        </is>
      </c>
      <c r="D14" s="19">
        <f>SUM(D5:D13)</f>
        <v/>
      </c>
    </row>
    <row r="17">
      <c r="A17" s="6" t="inlineStr">
        <is>
          <t>Per engineer</t>
        </is>
      </c>
    </row>
    <row r="18">
      <c r="A18" s="9" t="inlineStr">
        <is>
          <t>Engineer</t>
        </is>
      </c>
      <c r="B18" s="9" t="inlineStr">
        <is>
          <t>WBSO hours</t>
        </is>
      </c>
      <c r="C18" s="9" t="inlineStr">
        <is>
          <t>Day equivalent</t>
        </is>
      </c>
      <c r="D18" s="9" t="inlineStr">
        <is>
          <t>Active days</t>
        </is>
      </c>
      <c r="E18" s="9" t="inlineStr">
        <is>
          <t>Capacity hours</t>
        </is>
      </c>
      <c r="F18" s="9" t="inlineStr">
        <is>
          <t>WBSO share</t>
        </is>
      </c>
      <c r="G18" s="9" t="inlineStr">
        <is>
          <t>Peak tickets/day</t>
        </is>
      </c>
    </row>
    <row r="19">
      <c r="A19" s="10" t="inlineStr">
        <is>
          <t>Venkata Mannam</t>
        </is>
      </c>
      <c r="B19" s="12">
        <f>SUMIFS(Detail!$G$4:$G$116,Detail!$A$4:$A$116,$A$2,Detail!$B$4:$B$116,$A19)</f>
        <v/>
      </c>
      <c r="C19" s="12">
        <f>IFERROR($B19/Assumptions!$B$5,0)</f>
        <v/>
      </c>
      <c r="D19" s="11" t="n">
        <v>22</v>
      </c>
      <c r="E19" s="12">
        <f>$D19*Assumptions!$B$5</f>
        <v/>
      </c>
      <c r="F19" s="13">
        <f>IFERROR($B19/$E19,0)</f>
        <v/>
      </c>
      <c r="G19" s="11" t="inlineStr">
        <is>
          <t>3 on 29 Dec</t>
        </is>
      </c>
    </row>
    <row r="20">
      <c r="A20" s="10" t="inlineStr">
        <is>
          <t>Elton Qevani</t>
        </is>
      </c>
      <c r="B20" s="12">
        <f>SUMIFS(Detail!$G$4:$G$116,Detail!$A$4:$A$116,$A$2,Detail!$B$4:$B$116,$A20)</f>
        <v/>
      </c>
      <c r="C20" s="12">
        <f>IFERROR($B20/Assumptions!$B$5,0)</f>
        <v/>
      </c>
      <c r="D20" s="11" t="n">
        <v>23</v>
      </c>
      <c r="E20" s="12">
        <f>$D20*Assumptions!$B$5</f>
        <v/>
      </c>
      <c r="F20" s="13">
        <f>IFERROR($B20/$E20,0)</f>
        <v/>
      </c>
      <c r="G20" s="11" t="inlineStr">
        <is>
          <t>2 on 03 Dec</t>
        </is>
      </c>
    </row>
    <row r="21">
      <c r="A21" s="10" t="inlineStr">
        <is>
          <t>Mete Han Karacüllü</t>
        </is>
      </c>
      <c r="B21" s="12">
        <f>SUMIFS(Detail!$G$4:$G$116,Detail!$A$4:$A$116,$A$2,Detail!$B$4:$B$116,$A21)</f>
        <v/>
      </c>
      <c r="C21" s="12">
        <f>IFERROR($B21/Assumptions!$B$5,0)</f>
        <v/>
      </c>
      <c r="D21" s="11" t="n">
        <v>16</v>
      </c>
      <c r="E21" s="12">
        <f>$D21*Assumptions!$B$5</f>
        <v/>
      </c>
      <c r="F21" s="13">
        <f>IFERROR($B21/$E21,0)</f>
        <v/>
      </c>
      <c r="G21" s="11" t="inlineStr">
        <is>
          <t>1 on 03 Dec</t>
        </is>
      </c>
    </row>
    <row r="22">
      <c r="A22" s="10" t="inlineStr">
        <is>
          <t>Iakovos Belonias</t>
        </is>
      </c>
      <c r="B22" s="12">
        <f>SUMIFS(Detail!$G$4:$G$116,Detail!$A$4:$A$116,$A$2,Detail!$B$4:$B$116,$A22)</f>
        <v/>
      </c>
      <c r="C22" s="12">
        <f>IFERROR($B22/Assumptions!$B$5,0)</f>
        <v/>
      </c>
      <c r="D22" s="11" t="n">
        <v>24</v>
      </c>
      <c r="E22" s="12">
        <f>$D22*Assumptions!$B$5</f>
        <v/>
      </c>
      <c r="F22" s="13">
        <f>IFERROR($B22/$E22,0)</f>
        <v/>
      </c>
      <c r="G22" s="11" t="inlineStr">
        <is>
          <t>3 on 02 Dec</t>
        </is>
      </c>
    </row>
    <row r="23">
      <c r="A23" s="3" t="inlineStr">
        <is>
          <t>TOTAL</t>
        </is>
      </c>
      <c r="B23" s="15">
        <f>SUM(B19:B22)</f>
        <v/>
      </c>
      <c r="C23" s="15">
        <f>SUM(C19:C22)</f>
        <v/>
      </c>
      <c r="D23" s="15">
        <f>SUM(D19:D22)</f>
        <v/>
      </c>
      <c r="E23" s="15">
        <f>SUM(E19:E22)</f>
        <v/>
      </c>
      <c r="F23" s="16">
        <f>IFERROR($B23/$E23,0)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Horizon — WBSO hours, 2025-12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Péter Veres</t>
        </is>
      </c>
      <c r="B5" s="10" t="inlineStr">
        <is>
          <t>SUK-5790</t>
        </is>
      </c>
      <c r="C5" s="10" t="inlineStr">
        <is>
          <t>SUK-5790 VOP Improvements  - 2025</t>
        </is>
      </c>
      <c r="D5" s="12">
        <f>SUMIFS(Detail!$G$4:$G$116,Detail!$A$4:$A$116,$A$2,Detail!$B$4:$B$116,$A5,Detail!$C$4:$C$116,$B5)</f>
        <v/>
      </c>
    </row>
    <row r="6">
      <c r="A6" s="10" t="inlineStr">
        <is>
          <t>Adorjan Fritz</t>
        </is>
      </c>
      <c r="B6" s="10" t="inlineStr">
        <is>
          <t>SUK-5790</t>
        </is>
      </c>
      <c r="C6" s="10" t="inlineStr">
        <is>
          <t>SUK-5790 VOP Improvements  - 2025</t>
        </is>
      </c>
      <c r="D6" s="12">
        <f>SUMIFS(Detail!$G$4:$G$116,Detail!$A$4:$A$116,$A$2,Detail!$B$4:$B$116,$A6,Detail!$C$4:$C$116,$B6)</f>
        <v/>
      </c>
    </row>
    <row r="7">
      <c r="A7" s="10" t="inlineStr">
        <is>
          <t>Ryan Shepherd</t>
        </is>
      </c>
      <c r="B7" s="10" t="inlineStr">
        <is>
          <t>SUK-5790</t>
        </is>
      </c>
      <c r="C7" s="10" t="inlineStr">
        <is>
          <t>SUK-5790 VOP Improvements  - 2025</t>
        </is>
      </c>
      <c r="D7" s="12">
        <f>SUMIFS(Detail!$G$4:$G$116,Detail!$A$4:$A$116,$A$2,Detail!$B$4:$B$116,$A7,Detail!$C$4:$C$116,$B7)</f>
        <v/>
      </c>
    </row>
    <row r="8">
      <c r="A8" s="10" t="inlineStr">
        <is>
          <t>Julian Mulder</t>
        </is>
      </c>
      <c r="B8" s="10" t="inlineStr">
        <is>
          <t>SUK-5790</t>
        </is>
      </c>
      <c r="C8" s="10" t="inlineStr">
        <is>
          <t>SUK-5790 VOP Improvements  - 2025</t>
        </is>
      </c>
      <c r="D8" s="12">
        <f>SUMIFS(Detail!$G$4:$G$116,Detail!$A$4:$A$116,$A$2,Detail!$B$4:$B$116,$A8,Detail!$C$4:$C$116,$B8)</f>
        <v/>
      </c>
    </row>
    <row r="9">
      <c r="A9" s="10" t="inlineStr">
        <is>
          <t>veronica.hvaal</t>
        </is>
      </c>
      <c r="B9" s="10" t="inlineStr">
        <is>
          <t>SUK-5790</t>
        </is>
      </c>
      <c r="C9" s="10" t="inlineStr">
        <is>
          <t>SUK-5790 VOP Improvements  - 2025</t>
        </is>
      </c>
      <c r="D9" s="12">
        <f>SUMIFS(Detail!$G$4:$G$116,Detail!$A$4:$A$116,$A$2,Detail!$B$4:$B$116,$A9,Detail!$C$4:$C$116,$B9)</f>
        <v/>
      </c>
    </row>
    <row r="10">
      <c r="A10" s="10" t="inlineStr">
        <is>
          <t>Nikolay Antonov</t>
        </is>
      </c>
      <c r="B10" s="10" t="inlineStr">
        <is>
          <t>SUK-5790</t>
        </is>
      </c>
      <c r="C10" s="10" t="inlineStr">
        <is>
          <t>SUK-5790 VOP Improvements  - 2025</t>
        </is>
      </c>
      <c r="D10" s="12">
        <f>SUMIFS(Detail!$G$4:$G$116,Detail!$A$4:$A$116,$A$2,Detail!$B$4:$B$116,$A10,Detail!$C$4:$C$116,$B10)</f>
        <v/>
      </c>
    </row>
    <row r="11">
      <c r="A11" s="10" t="inlineStr">
        <is>
          <t>Prabhukiran Narava</t>
        </is>
      </c>
      <c r="B11" s="10" t="inlineStr">
        <is>
          <t>SUK-5790</t>
        </is>
      </c>
      <c r="C11" s="10" t="inlineStr">
        <is>
          <t>SUK-5790 VOP Improvements  - 2025</t>
        </is>
      </c>
      <c r="D11" s="12">
        <f>SUMIFS(Detail!$G$4:$G$116,Detail!$A$4:$A$116,$A$2,Detail!$B$4:$B$116,$A11,Detail!$C$4:$C$116,$B11)</f>
        <v/>
      </c>
    </row>
    <row r="12">
      <c r="A12" s="17" t="n"/>
      <c r="B12" s="17" t="n"/>
      <c r="C12" s="18" t="inlineStr">
        <is>
          <t>TEAM TOTAL</t>
        </is>
      </c>
      <c r="D12" s="19">
        <f>SUM(D5:D11)</f>
        <v/>
      </c>
    </row>
    <row r="15">
      <c r="A15" s="6" t="inlineStr">
        <is>
          <t>Per engineer</t>
        </is>
      </c>
    </row>
    <row r="16">
      <c r="A16" s="9" t="inlineStr">
        <is>
          <t>Engineer</t>
        </is>
      </c>
      <c r="B16" s="9" t="inlineStr">
        <is>
          <t>WBSO hours</t>
        </is>
      </c>
      <c r="C16" s="9" t="inlineStr">
        <is>
          <t>Day equivalent</t>
        </is>
      </c>
      <c r="D16" s="9" t="inlineStr">
        <is>
          <t>Active days</t>
        </is>
      </c>
      <c r="E16" s="9" t="inlineStr">
        <is>
          <t>Capacity hours</t>
        </is>
      </c>
      <c r="F16" s="9" t="inlineStr">
        <is>
          <t>WBSO share</t>
        </is>
      </c>
      <c r="G16" s="9" t="inlineStr">
        <is>
          <t>Peak tickets/day</t>
        </is>
      </c>
    </row>
    <row r="17">
      <c r="A17" s="10" t="inlineStr">
        <is>
          <t>Péter Veres</t>
        </is>
      </c>
      <c r="B17" s="12">
        <f>SUMIFS(Detail!$G$4:$G$116,Detail!$A$4:$A$116,$A$2,Detail!$B$4:$B$116,$A17)</f>
        <v/>
      </c>
      <c r="C17" s="12">
        <f>IFERROR($B17/Assumptions!$B$5,0)</f>
        <v/>
      </c>
      <c r="D17" s="11" t="n">
        <v>18</v>
      </c>
      <c r="E17" s="12">
        <f>$D17*Assumptions!$B$5</f>
        <v/>
      </c>
      <c r="F17" s="13">
        <f>IFERROR($B17/$E17,0)</f>
        <v/>
      </c>
      <c r="G17" s="11" t="inlineStr">
        <is>
          <t>2 on 22 Dec</t>
        </is>
      </c>
    </row>
    <row r="18">
      <c r="A18" s="10" t="inlineStr">
        <is>
          <t>Adorjan Fritz</t>
        </is>
      </c>
      <c r="B18" s="12">
        <f>SUMIFS(Detail!$G$4:$G$116,Detail!$A$4:$A$116,$A$2,Detail!$B$4:$B$116,$A18)</f>
        <v/>
      </c>
      <c r="C18" s="12">
        <f>IFERROR($B18/Assumptions!$B$5,0)</f>
        <v/>
      </c>
      <c r="D18" s="11" t="n">
        <v>24</v>
      </c>
      <c r="E18" s="12">
        <f>$D18*Assumptions!$B$5</f>
        <v/>
      </c>
      <c r="F18" s="13">
        <f>IFERROR($B18/$E18,0)</f>
        <v/>
      </c>
      <c r="G18" s="11" t="inlineStr">
        <is>
          <t>3 on 05 Dec</t>
        </is>
      </c>
    </row>
    <row r="19">
      <c r="A19" s="10" t="inlineStr">
        <is>
          <t>Ryan Shepherd</t>
        </is>
      </c>
      <c r="B19" s="12">
        <f>SUMIFS(Detail!$G$4:$G$116,Detail!$A$4:$A$116,$A$2,Detail!$B$4:$B$116,$A19)</f>
        <v/>
      </c>
      <c r="C19" s="12">
        <f>IFERROR($B19/Assumptions!$B$5,0)</f>
        <v/>
      </c>
      <c r="D19" s="11" t="n">
        <v>17</v>
      </c>
      <c r="E19" s="12">
        <f>$D19*Assumptions!$B$5</f>
        <v/>
      </c>
      <c r="F19" s="13">
        <f>IFERROR($B19/$E19,0)</f>
        <v/>
      </c>
      <c r="G19" s="11" t="inlineStr">
        <is>
          <t>6 on 19 Dec</t>
        </is>
      </c>
    </row>
    <row r="20">
      <c r="A20" s="10" t="inlineStr">
        <is>
          <t>Julian Mulder</t>
        </is>
      </c>
      <c r="B20" s="12">
        <f>SUMIFS(Detail!$G$4:$G$116,Detail!$A$4:$A$116,$A$2,Detail!$B$4:$B$116,$A20)</f>
        <v/>
      </c>
      <c r="C20" s="12">
        <f>IFERROR($B20/Assumptions!$B$5,0)</f>
        <v/>
      </c>
      <c r="D20" s="11" t="n">
        <v>10</v>
      </c>
      <c r="E20" s="12">
        <f>$D20*Assumptions!$B$5</f>
        <v/>
      </c>
      <c r="F20" s="13">
        <f>IFERROR($B20/$E20,0)</f>
        <v/>
      </c>
      <c r="G20" s="11" t="inlineStr">
        <is>
          <t>1 on 17 Dec</t>
        </is>
      </c>
    </row>
    <row r="21">
      <c r="A21" s="10" t="inlineStr">
        <is>
          <t>veronica.hvaal</t>
        </is>
      </c>
      <c r="B21" s="12">
        <f>SUMIFS(Detail!$G$4:$G$116,Detail!$A$4:$A$116,$A$2,Detail!$B$4:$B$116,$A21)</f>
        <v/>
      </c>
      <c r="C21" s="12">
        <f>IFERROR($B21/Assumptions!$B$5,0)</f>
        <v/>
      </c>
      <c r="D21" s="11" t="n">
        <v>23</v>
      </c>
      <c r="E21" s="12">
        <f>$D21*Assumptions!$B$5</f>
        <v/>
      </c>
      <c r="F21" s="13">
        <f>IFERROR($B21/$E21,0)</f>
        <v/>
      </c>
      <c r="G21" s="11" t="inlineStr">
        <is>
          <t>3 on 22 Dec</t>
        </is>
      </c>
    </row>
    <row r="22">
      <c r="A22" s="10" t="inlineStr">
        <is>
          <t>Nikolay Antonov</t>
        </is>
      </c>
      <c r="B22" s="12">
        <f>SUMIFS(Detail!$G$4:$G$116,Detail!$A$4:$A$116,$A$2,Detail!$B$4:$B$116,$A22)</f>
        <v/>
      </c>
      <c r="C22" s="12">
        <f>IFERROR($B22/Assumptions!$B$5,0)</f>
        <v/>
      </c>
      <c r="D22" s="11" t="n">
        <v>24</v>
      </c>
      <c r="E22" s="12">
        <f>$D22*Assumptions!$B$5</f>
        <v/>
      </c>
      <c r="F22" s="13">
        <f>IFERROR($B22/$E22,0)</f>
        <v/>
      </c>
      <c r="G22" s="11" t="inlineStr">
        <is>
          <t>7 on 16 Dec</t>
        </is>
      </c>
    </row>
    <row r="23">
      <c r="A23" s="10" t="inlineStr">
        <is>
          <t>Prabhukiran Narava</t>
        </is>
      </c>
      <c r="B23" s="12">
        <f>SUMIFS(Detail!$G$4:$G$116,Detail!$A$4:$A$116,$A$2,Detail!$B$4:$B$116,$A23)</f>
        <v/>
      </c>
      <c r="C23" s="12">
        <f>IFERROR($B23/Assumptions!$B$5,0)</f>
        <v/>
      </c>
      <c r="D23" s="11" t="n">
        <v>24</v>
      </c>
      <c r="E23" s="12">
        <f>$D23*Assumptions!$B$5</f>
        <v/>
      </c>
      <c r="F23" s="13">
        <f>IFERROR($B23/$E23,0)</f>
        <v/>
      </c>
      <c r="G23" s="11" t="inlineStr">
        <is>
          <t>6 on 23 Dec</t>
        </is>
      </c>
    </row>
    <row r="24">
      <c r="A24" s="3" t="inlineStr">
        <is>
          <t>TOTAL</t>
        </is>
      </c>
      <c r="B24" s="15">
        <f>SUM(B17:B23)</f>
        <v/>
      </c>
      <c r="C24" s="15">
        <f>SUM(C17:C23)</f>
        <v/>
      </c>
      <c r="D24" s="15">
        <f>SUM(D17:D23)</f>
        <v/>
      </c>
      <c r="E24" s="15">
        <f>SUM(E17:E23)</f>
        <v/>
      </c>
      <c r="F24" s="16">
        <f>IFERROR($B24/$E24,0)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2025-12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Tjibbe van Wier</t>
        </is>
      </c>
      <c r="B5" s="10" t="inlineStr">
        <is>
          <t>SPD-3368</t>
        </is>
      </c>
      <c r="C5" s="10" t="inlineStr">
        <is>
          <t>SPD-3368 VoP Bulk Checker v1.1</t>
        </is>
      </c>
      <c r="D5" s="12">
        <f>SUMIFS(Detail!$G$4:$G$116,Detail!$A$4:$A$116,$A$2,Detail!$B$4:$B$116,$A5,Detail!$C$4:$C$116,$B5)</f>
        <v/>
      </c>
    </row>
    <row r="6">
      <c r="A6" s="10" t="inlineStr">
        <is>
          <t>borys.rudenko</t>
        </is>
      </c>
      <c r="B6" s="10" t="inlineStr">
        <is>
          <t>SDO-7745</t>
        </is>
      </c>
      <c r="C6" s="10" t="inlineStr">
        <is>
          <t>SDO-7745 UnstructuredRemittanceInformation</t>
        </is>
      </c>
      <c r="D6" s="12">
        <f>SUMIFS(Detail!$G$4:$G$116,Detail!$A$4:$A$116,$A$2,Detail!$B$4:$B$116,$A6,Detail!$C$4:$C$116,$B6)</f>
        <v/>
      </c>
    </row>
    <row r="7">
      <c r="A7" s="10" t="inlineStr">
        <is>
          <t>Gerard Veldman</t>
        </is>
      </c>
      <c r="B7" s="10" t="inlineStr">
        <is>
          <t>SPD-3236</t>
        </is>
      </c>
      <c r="C7" s="10" t="inlineStr">
        <is>
          <t>SPD-3236 VoP Bulk Checker performance improvement</t>
        </is>
      </c>
      <c r="D7" s="12">
        <f>SUMIFS(Detail!$G$4:$G$116,Detail!$A$4:$A$116,$A$2,Detail!$B$4:$B$116,$A7,Detail!$C$4:$C$116,$B7)</f>
        <v/>
      </c>
    </row>
    <row r="8">
      <c r="A8" s="10" t="inlineStr">
        <is>
          <t>Gerard Veldman</t>
        </is>
      </c>
      <c r="B8" s="10" t="inlineStr">
        <is>
          <t>SPD-3341</t>
        </is>
      </c>
      <c r="C8" s="10" t="inlineStr">
        <is>
          <t>SPD-3341 VoP Data Hosting</t>
        </is>
      </c>
      <c r="D8" s="12">
        <f>SUMIFS(Detail!$G$4:$G$116,Detail!$A$4:$A$116,$A$2,Detail!$B$4:$B$116,$A8,Detail!$C$4:$C$116,$B8)</f>
        <v/>
      </c>
    </row>
    <row r="9">
      <c r="A9" s="10" t="inlineStr">
        <is>
          <t>Gerard Veldman</t>
        </is>
      </c>
      <c r="B9" s="10" t="inlineStr">
        <is>
          <t>SPD-3368</t>
        </is>
      </c>
      <c r="C9" s="10" t="inlineStr">
        <is>
          <t>SPD-3368 VoP Bulk Checker v1.1</t>
        </is>
      </c>
      <c r="D9" s="12">
        <f>SUMIFS(Detail!$G$4:$G$116,Detail!$A$4:$A$116,$A$2,Detail!$B$4:$B$116,$A9,Detail!$C$4:$C$116,$B9)</f>
        <v/>
      </c>
    </row>
    <row r="10">
      <c r="A10" s="10" t="inlineStr">
        <is>
          <t>Gerard Veldman</t>
        </is>
      </c>
      <c r="B10" s="10" t="inlineStr">
        <is>
          <t>SPD-3381</t>
        </is>
      </c>
      <c r="C10" s="10" t="inlineStr">
        <is>
          <t>SPD-3381 Multi Region</t>
        </is>
      </c>
      <c r="D10" s="12">
        <f>SUMIFS(Detail!$G$4:$G$116,Detail!$A$4:$A$116,$A$2,Detail!$B$4:$B$116,$A10,Detail!$C$4:$C$116,$B10)</f>
        <v/>
      </c>
    </row>
    <row r="11">
      <c r="A11" s="10" t="inlineStr">
        <is>
          <t>Keerthi Shankar</t>
        </is>
      </c>
      <c r="B11" s="10" t="inlineStr">
        <is>
          <t>SPD-1732</t>
        </is>
      </c>
      <c r="C11" s="10" t="inlineStr">
        <is>
          <t>SPD-1732 Corporate Bulk Checker</t>
        </is>
      </c>
      <c r="D11" s="12">
        <f>SUMIFS(Detail!$G$4:$G$116,Detail!$A$4:$A$116,$A$2,Detail!$B$4:$B$116,$A11,Detail!$C$4:$C$116,$B11)</f>
        <v/>
      </c>
    </row>
    <row r="12">
      <c r="A12" s="10" t="inlineStr">
        <is>
          <t>Keerthi Shankar</t>
        </is>
      </c>
      <c r="B12" s="10" t="inlineStr">
        <is>
          <t>SPD-3341</t>
        </is>
      </c>
      <c r="C12" s="10" t="inlineStr">
        <is>
          <t>SPD-3341 VoP Data Hosting</t>
        </is>
      </c>
      <c r="D12" s="12">
        <f>SUMIFS(Detail!$G$4:$G$116,Detail!$A$4:$A$116,$A$2,Detail!$B$4:$B$116,$A12,Detail!$C$4:$C$116,$B12)</f>
        <v/>
      </c>
    </row>
    <row r="13">
      <c r="A13" s="10" t="inlineStr">
        <is>
          <t>Keerthi Shankar</t>
        </is>
      </c>
      <c r="B13" s="10" t="inlineStr">
        <is>
          <t>SPD-3381</t>
        </is>
      </c>
      <c r="C13" s="10" t="inlineStr">
        <is>
          <t>SPD-3381 Multi Region</t>
        </is>
      </c>
      <c r="D13" s="12">
        <f>SUMIFS(Detail!$G$4:$G$116,Detail!$A$4:$A$116,$A$2,Detail!$B$4:$B$116,$A13,Detail!$C$4:$C$116,$B13)</f>
        <v/>
      </c>
    </row>
    <row r="14">
      <c r="A14" s="10" t="inlineStr">
        <is>
          <t>Diego Silva</t>
        </is>
      </c>
      <c r="B14" s="10" t="inlineStr">
        <is>
          <t>SPD-2749</t>
        </is>
      </c>
      <c r="C14" s="10" t="inlineStr">
        <is>
          <t>SPD-2749 VoP Data Hosting Ingester v1</t>
        </is>
      </c>
      <c r="D14" s="12">
        <f>SUMIFS(Detail!$G$4:$G$116,Detail!$A$4:$A$116,$A$2,Detail!$B$4:$B$116,$A14,Detail!$C$4:$C$116,$B14)</f>
        <v/>
      </c>
    </row>
    <row r="15">
      <c r="A15" s="10" t="inlineStr">
        <is>
          <t>Juanma Tastzian</t>
        </is>
      </c>
      <c r="B15" s="10" t="inlineStr">
        <is>
          <t>SDO-7526</t>
        </is>
      </c>
      <c r="C15" s="10" t="inlineStr">
        <is>
          <t>SDO-7526 VOP Algorithm Improvements</t>
        </is>
      </c>
      <c r="D15" s="12">
        <f>SUMIFS(Detail!$G$4:$G$116,Detail!$A$4:$A$116,$A$2,Detail!$B$4:$B$116,$A15,Detail!$C$4:$C$116,$B15)</f>
        <v/>
      </c>
    </row>
    <row r="16">
      <c r="A16" s="10" t="inlineStr">
        <is>
          <t>Chaitanya Sagi</t>
        </is>
      </c>
      <c r="B16" s="10" t="inlineStr">
        <is>
          <t>SPD-3368</t>
        </is>
      </c>
      <c r="C16" s="10" t="inlineStr">
        <is>
          <t>SPD-3368 VoP Bulk Checker v1.1</t>
        </is>
      </c>
      <c r="D16" s="12">
        <f>SUMIFS(Detail!$G$4:$G$116,Detail!$A$4:$A$116,$A$2,Detail!$B$4:$B$116,$A16,Detail!$C$4:$C$116,$B16)</f>
        <v/>
      </c>
    </row>
    <row r="17">
      <c r="A17" s="17" t="n"/>
      <c r="B17" s="17" t="n"/>
      <c r="C17" s="18" t="inlineStr">
        <is>
          <t>TEAM TOTAL</t>
        </is>
      </c>
      <c r="D17" s="19">
        <f>SUM(D5:D16)</f>
        <v/>
      </c>
    </row>
    <row r="20">
      <c r="A20" s="6" t="inlineStr">
        <is>
          <t>Per engineer</t>
        </is>
      </c>
    </row>
    <row r="21">
      <c r="A21" s="9" t="inlineStr">
        <is>
          <t>Engineer</t>
        </is>
      </c>
      <c r="B21" s="9" t="inlineStr">
        <is>
          <t>WBSO hours</t>
        </is>
      </c>
      <c r="C21" s="9" t="inlineStr">
        <is>
          <t>Day equivalent</t>
        </is>
      </c>
      <c r="D21" s="9" t="inlineStr">
        <is>
          <t>Active days</t>
        </is>
      </c>
      <c r="E21" s="9" t="inlineStr">
        <is>
          <t>Capacity hours</t>
        </is>
      </c>
      <c r="F21" s="9" t="inlineStr">
        <is>
          <t>WBSO share</t>
        </is>
      </c>
      <c r="G21" s="9" t="inlineStr">
        <is>
          <t>Peak tickets/day</t>
        </is>
      </c>
    </row>
    <row r="22">
      <c r="A22" s="10" t="inlineStr">
        <is>
          <t>Tjibbe van Wier</t>
        </is>
      </c>
      <c r="B22" s="12">
        <f>SUMIFS(Detail!$G$4:$G$116,Detail!$A$4:$A$116,$A$2,Detail!$B$4:$B$116,$A22)</f>
        <v/>
      </c>
      <c r="C22" s="12">
        <f>IFERROR($B22/Assumptions!$B$5,0)</f>
        <v/>
      </c>
      <c r="D22" s="11" t="n">
        <v>23</v>
      </c>
      <c r="E22" s="12">
        <f>$D22*Assumptions!$B$5</f>
        <v/>
      </c>
      <c r="F22" s="13">
        <f>IFERROR($B22/$E22,0)</f>
        <v/>
      </c>
      <c r="G22" s="11" t="inlineStr">
        <is>
          <t>1 on 02 Dec</t>
        </is>
      </c>
    </row>
    <row r="23">
      <c r="A23" s="10" t="inlineStr">
        <is>
          <t>borys.rudenko</t>
        </is>
      </c>
      <c r="B23" s="12">
        <f>SUMIFS(Detail!$G$4:$G$116,Detail!$A$4:$A$116,$A$2,Detail!$B$4:$B$116,$A23)</f>
        <v/>
      </c>
      <c r="C23" s="12">
        <f>IFERROR($B23/Assumptions!$B$5,0)</f>
        <v/>
      </c>
      <c r="D23" s="11" t="n">
        <v>15</v>
      </c>
      <c r="E23" s="12">
        <f>$D23*Assumptions!$B$5</f>
        <v/>
      </c>
      <c r="F23" s="13">
        <f>IFERROR($B23/$E23,0)</f>
        <v/>
      </c>
      <c r="G23" s="11" t="inlineStr">
        <is>
          <t>2 on 03 Dec</t>
        </is>
      </c>
    </row>
    <row r="24">
      <c r="A24" s="10" t="inlineStr">
        <is>
          <t>Gerard Veldman</t>
        </is>
      </c>
      <c r="B24" s="12">
        <f>SUMIFS(Detail!$G$4:$G$116,Detail!$A$4:$A$116,$A$2,Detail!$B$4:$B$116,$A24)</f>
        <v/>
      </c>
      <c r="C24" s="12">
        <f>IFERROR($B24/Assumptions!$B$5,0)</f>
        <v/>
      </c>
      <c r="D24" s="11" t="n">
        <v>24</v>
      </c>
      <c r="E24" s="12">
        <f>$D24*Assumptions!$B$5</f>
        <v/>
      </c>
      <c r="F24" s="13">
        <f>IFERROR($B24/$E24,0)</f>
        <v/>
      </c>
      <c r="G24" s="11" t="inlineStr">
        <is>
          <t>8 on 09 Dec</t>
        </is>
      </c>
    </row>
    <row r="25">
      <c r="A25" s="10" t="inlineStr">
        <is>
          <t>Keerthi Shankar</t>
        </is>
      </c>
      <c r="B25" s="12">
        <f>SUMIFS(Detail!$G$4:$G$116,Detail!$A$4:$A$116,$A$2,Detail!$B$4:$B$116,$A25)</f>
        <v/>
      </c>
      <c r="C25" s="12">
        <f>IFERROR($B25/Assumptions!$B$5,0)</f>
        <v/>
      </c>
      <c r="D25" s="11" t="n">
        <v>23</v>
      </c>
      <c r="E25" s="12">
        <f>$D25*Assumptions!$B$5</f>
        <v/>
      </c>
      <c r="F25" s="13">
        <f>IFERROR($B25/$E25,0)</f>
        <v/>
      </c>
      <c r="G25" s="11" t="inlineStr">
        <is>
          <t>3 on 10 Dec</t>
        </is>
      </c>
    </row>
    <row r="26">
      <c r="A26" s="10" t="inlineStr">
        <is>
          <t>Diego Silva</t>
        </is>
      </c>
      <c r="B26" s="12">
        <f>SUMIFS(Detail!$G$4:$G$116,Detail!$A$4:$A$116,$A$2,Detail!$B$4:$B$116,$A26)</f>
        <v/>
      </c>
      <c r="C26" s="12">
        <f>IFERROR($B26/Assumptions!$B$5,0)</f>
        <v/>
      </c>
      <c r="D26" s="11" t="n">
        <v>6</v>
      </c>
      <c r="E26" s="12">
        <f>$D26*Assumptions!$B$5</f>
        <v/>
      </c>
      <c r="F26" s="13">
        <f>IFERROR($B26/$E26,0)</f>
        <v/>
      </c>
      <c r="G26" s="11" t="inlineStr">
        <is>
          <t>1 on 01 Dec</t>
        </is>
      </c>
    </row>
    <row r="27">
      <c r="A27" s="10" t="inlineStr">
        <is>
          <t>Juanma Tastzian</t>
        </is>
      </c>
      <c r="B27" s="12">
        <f>SUMIFS(Detail!$G$4:$G$116,Detail!$A$4:$A$116,$A$2,Detail!$B$4:$B$116,$A27)</f>
        <v/>
      </c>
      <c r="C27" s="12">
        <f>IFERROR($B27/Assumptions!$B$5,0)</f>
        <v/>
      </c>
      <c r="D27" s="11" t="n">
        <v>24</v>
      </c>
      <c r="E27" s="12">
        <f>$D27*Assumptions!$B$5</f>
        <v/>
      </c>
      <c r="F27" s="13">
        <f>IFERROR($B27/$E27,0)</f>
        <v/>
      </c>
      <c r="G27" s="11" t="inlineStr">
        <is>
          <t>3 on 16 Dec</t>
        </is>
      </c>
    </row>
    <row r="28">
      <c r="A28" s="10" t="inlineStr">
        <is>
          <t>Chaitanya Sagi</t>
        </is>
      </c>
      <c r="B28" s="12">
        <f>SUMIFS(Detail!$G$4:$G$116,Detail!$A$4:$A$116,$A$2,Detail!$B$4:$B$116,$A28)</f>
        <v/>
      </c>
      <c r="C28" s="12">
        <f>IFERROR($B28/Assumptions!$B$5,0)</f>
        <v/>
      </c>
      <c r="D28" s="11" t="n">
        <v>2</v>
      </c>
      <c r="E28" s="12">
        <f>$D28*Assumptions!$B$5</f>
        <v/>
      </c>
      <c r="F28" s="13">
        <f>IFERROR($B28/$E28,0)</f>
        <v/>
      </c>
      <c r="G28" s="11" t="inlineStr">
        <is>
          <t>1 on 03 Dec</t>
        </is>
      </c>
    </row>
    <row r="29">
      <c r="A29" s="3" t="inlineStr">
        <is>
          <t>TOTAL</t>
        </is>
      </c>
      <c r="B29" s="15">
        <f>SUM(B22:B28)</f>
        <v/>
      </c>
      <c r="C29" s="15">
        <f>SUM(C22:C28)</f>
        <v/>
      </c>
      <c r="D29" s="15">
        <f>SUM(D22:D28)</f>
        <v/>
      </c>
      <c r="E29" s="15">
        <f>SUM(E22:E28)</f>
        <v/>
      </c>
      <c r="F29" s="16">
        <f>IFERROR($B29/$E29,0)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2025-12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Ioannis Argyroulis</t>
        </is>
      </c>
      <c r="B5" s="10" t="inlineStr">
        <is>
          <t>SDO-8067</t>
        </is>
      </c>
      <c r="C5" s="10" t="inlineStr">
        <is>
          <t>SDO-8067 Swift outbound v3</t>
        </is>
      </c>
      <c r="D5" s="12">
        <f>SUMIFS(Detail!$G$4:$G$116,Detail!$A$4:$A$116,$A$2,Detail!$B$4:$B$116,$A5,Detail!$C$4:$C$116,$B5)</f>
        <v/>
      </c>
    </row>
    <row r="6">
      <c r="A6" s="10" t="inlineStr">
        <is>
          <t>Sheik Farzand Razi</t>
        </is>
      </c>
      <c r="B6" s="10" t="inlineStr">
        <is>
          <t>SDO-7680</t>
        </is>
      </c>
      <c r="C6" s="10" t="inlineStr">
        <is>
          <t>SDO-7680 Multi region</t>
        </is>
      </c>
      <c r="D6" s="12">
        <f>SUMIFS(Detail!$G$4:$G$116,Detail!$A$4:$A$116,$A$2,Detail!$B$4:$B$116,$A6,Detail!$C$4:$C$116,$B6)</f>
        <v/>
      </c>
    </row>
    <row r="7">
      <c r="A7" s="10" t="inlineStr">
        <is>
          <t>Sheik Farzand Razi</t>
        </is>
      </c>
      <c r="B7" s="10" t="inlineStr">
        <is>
          <t>SDO-7982</t>
        </is>
      </c>
      <c r="C7" s="10" t="inlineStr">
        <is>
          <t>SDO-7982 Samba Observability</t>
        </is>
      </c>
      <c r="D7" s="12">
        <f>SUMIFS(Detail!$G$4:$G$116,Detail!$A$4:$A$116,$A$2,Detail!$B$4:$B$116,$A7,Detail!$C$4:$C$116,$B7)</f>
        <v/>
      </c>
    </row>
    <row r="8">
      <c r="A8" s="10" t="inlineStr">
        <is>
          <t>Sheik Farzand Razi</t>
        </is>
      </c>
      <c r="B8" s="10" t="inlineStr">
        <is>
          <t>SDO-8067</t>
        </is>
      </c>
      <c r="C8" s="10" t="inlineStr">
        <is>
          <t>SDO-8067 Swift outbound v3</t>
        </is>
      </c>
      <c r="D8" s="12">
        <f>SUMIFS(Detail!$G$4:$G$116,Detail!$A$4:$A$116,$A$2,Detail!$B$4:$B$116,$A8,Detail!$C$4:$C$116,$B8)</f>
        <v/>
      </c>
    </row>
    <row r="9">
      <c r="A9" s="10" t="inlineStr">
        <is>
          <t>Mark Whitworth</t>
        </is>
      </c>
      <c r="B9" s="10" t="inlineStr">
        <is>
          <t>SDO-8067</t>
        </is>
      </c>
      <c r="C9" s="10" t="inlineStr">
        <is>
          <t>SDO-8067 Swift outbound v3</t>
        </is>
      </c>
      <c r="D9" s="12">
        <f>SUMIFS(Detail!$G$4:$G$116,Detail!$A$4:$A$116,$A$2,Detail!$B$4:$B$116,$A9,Detail!$C$4:$C$116,$B9)</f>
        <v/>
      </c>
    </row>
    <row r="10">
      <c r="A10" s="10" t="inlineStr">
        <is>
          <t>Muhammad Sulaiman</t>
        </is>
      </c>
      <c r="B10" s="10" t="inlineStr">
        <is>
          <t>SDO-5021</t>
        </is>
      </c>
      <c r="C10" s="10" t="inlineStr">
        <is>
          <t xml:space="preserve">SDO-5021 Service Improvements </t>
        </is>
      </c>
      <c r="D10" s="12">
        <f>SUMIFS(Detail!$G$4:$G$116,Detail!$A$4:$A$116,$A$2,Detail!$B$4:$B$116,$A10,Detail!$C$4:$C$116,$B10)</f>
        <v/>
      </c>
    </row>
    <row r="11">
      <c r="A11" s="10" t="inlineStr">
        <is>
          <t>Muhammad Sulaiman</t>
        </is>
      </c>
      <c r="B11" s="10" t="inlineStr">
        <is>
          <t>SDO-7680</t>
        </is>
      </c>
      <c r="C11" s="10" t="inlineStr">
        <is>
          <t>SDO-7680 Multi region</t>
        </is>
      </c>
      <c r="D11" s="12">
        <f>SUMIFS(Detail!$G$4:$G$116,Detail!$A$4:$A$116,$A$2,Detail!$B$4:$B$116,$A11,Detail!$C$4:$C$116,$B11)</f>
        <v/>
      </c>
    </row>
    <row r="12">
      <c r="A12" s="10" t="inlineStr">
        <is>
          <t>Orwa Badran</t>
        </is>
      </c>
      <c r="B12" s="10" t="inlineStr">
        <is>
          <t>SDO-6876</t>
        </is>
      </c>
      <c r="C12" s="10" t="inlineStr">
        <is>
          <t>SDO-6876 VoP Gateway solution</t>
        </is>
      </c>
      <c r="D12" s="12">
        <f>SUMIFS(Detail!$G$4:$G$116,Detail!$A$4:$A$116,$A$2,Detail!$B$4:$B$116,$A12,Detail!$C$4:$C$116,$B12)</f>
        <v/>
      </c>
    </row>
    <row r="13">
      <c r="A13" s="10" t="inlineStr">
        <is>
          <t>Orwa Badran</t>
        </is>
      </c>
      <c r="B13" s="10" t="inlineStr">
        <is>
          <t>SDO-7634</t>
        </is>
      </c>
      <c r="C13" s="10" t="inlineStr">
        <is>
          <t>SDO-7634 BIC Enrichment</t>
        </is>
      </c>
      <c r="D13" s="12">
        <f>SUMIFS(Detail!$G$4:$G$116,Detail!$A$4:$A$116,$A$2,Detail!$B$4:$B$116,$A13,Detail!$C$4:$C$116,$B13)</f>
        <v/>
      </c>
    </row>
    <row r="14">
      <c r="A14" s="10" t="inlineStr">
        <is>
          <t>Orwa Badran</t>
        </is>
      </c>
      <c r="B14" s="10" t="inlineStr">
        <is>
          <t>SDO-7982</t>
        </is>
      </c>
      <c r="C14" s="10" t="inlineStr">
        <is>
          <t>SDO-7982 Samba Observability</t>
        </is>
      </c>
      <c r="D14" s="12">
        <f>SUMIFS(Detail!$G$4:$G$116,Detail!$A$4:$A$116,$A$2,Detail!$B$4:$B$116,$A14,Detail!$C$4:$C$116,$B14)</f>
        <v/>
      </c>
    </row>
    <row r="15">
      <c r="A15" s="10" t="inlineStr">
        <is>
          <t>Ismail Kuyu</t>
        </is>
      </c>
      <c r="B15" s="10" t="inlineStr">
        <is>
          <t>SDO-5021</t>
        </is>
      </c>
      <c r="C15" s="10" t="inlineStr">
        <is>
          <t xml:space="preserve">SDO-5021 Service Improvements </t>
        </is>
      </c>
      <c r="D15" s="12">
        <f>SUMIFS(Detail!$G$4:$G$116,Detail!$A$4:$A$116,$A$2,Detail!$B$4:$B$116,$A15,Detail!$C$4:$C$116,$B15)</f>
        <v/>
      </c>
    </row>
    <row r="16">
      <c r="A16" s="10" t="inlineStr">
        <is>
          <t>Ismail Kuyu</t>
        </is>
      </c>
      <c r="B16" s="10" t="inlineStr">
        <is>
          <t>SDO-7982</t>
        </is>
      </c>
      <c r="C16" s="10" t="inlineStr">
        <is>
          <t>SDO-7982 Samba Observability</t>
        </is>
      </c>
      <c r="D16" s="12">
        <f>SUMIFS(Detail!$G$4:$G$116,Detail!$A$4:$A$116,$A$2,Detail!$B$4:$B$116,$A16,Detail!$C$4:$C$116,$B16)</f>
        <v/>
      </c>
    </row>
    <row r="17">
      <c r="A17" s="17" t="n"/>
      <c r="B17" s="17" t="n"/>
      <c r="C17" s="18" t="inlineStr">
        <is>
          <t>TEAM TOTAL</t>
        </is>
      </c>
      <c r="D17" s="19">
        <f>SUM(D5:D16)</f>
        <v/>
      </c>
    </row>
    <row r="20">
      <c r="A20" s="6" t="inlineStr">
        <is>
          <t>Per engineer</t>
        </is>
      </c>
    </row>
    <row r="21">
      <c r="A21" s="9" t="inlineStr">
        <is>
          <t>Engineer</t>
        </is>
      </c>
      <c r="B21" s="9" t="inlineStr">
        <is>
          <t>WBSO hours</t>
        </is>
      </c>
      <c r="C21" s="9" t="inlineStr">
        <is>
          <t>Day equivalent</t>
        </is>
      </c>
      <c r="D21" s="9" t="inlineStr">
        <is>
          <t>Active days</t>
        </is>
      </c>
      <c r="E21" s="9" t="inlineStr">
        <is>
          <t>Capacity hours</t>
        </is>
      </c>
      <c r="F21" s="9" t="inlineStr">
        <is>
          <t>WBSO share</t>
        </is>
      </c>
      <c r="G21" s="9" t="inlineStr">
        <is>
          <t>Peak tickets/day</t>
        </is>
      </c>
    </row>
    <row r="22">
      <c r="A22" s="10" t="inlineStr">
        <is>
          <t>Ioannis Argyroulis</t>
        </is>
      </c>
      <c r="B22" s="12">
        <f>SUMIFS(Detail!$G$4:$G$116,Detail!$A$4:$A$116,$A$2,Detail!$B$4:$B$116,$A22)</f>
        <v/>
      </c>
      <c r="C22" s="12">
        <f>IFERROR($B22/Assumptions!$B$5,0)</f>
        <v/>
      </c>
      <c r="D22" s="11" t="n">
        <v>24</v>
      </c>
      <c r="E22" s="12">
        <f>$D22*Assumptions!$B$5</f>
        <v/>
      </c>
      <c r="F22" s="13">
        <f>IFERROR($B22/$E22,0)</f>
        <v/>
      </c>
      <c r="G22" s="11" t="inlineStr">
        <is>
          <t>2 on 17 Dec</t>
        </is>
      </c>
    </row>
    <row r="23">
      <c r="A23" s="10" t="inlineStr">
        <is>
          <t>Sheik Farzand Razi</t>
        </is>
      </c>
      <c r="B23" s="12">
        <f>SUMIFS(Detail!$G$4:$G$116,Detail!$A$4:$A$116,$A$2,Detail!$B$4:$B$116,$A23)</f>
        <v/>
      </c>
      <c r="C23" s="12">
        <f>IFERROR($B23/Assumptions!$B$5,0)</f>
        <v/>
      </c>
      <c r="D23" s="11" t="n">
        <v>19</v>
      </c>
      <c r="E23" s="12">
        <f>$D23*Assumptions!$B$5</f>
        <v/>
      </c>
      <c r="F23" s="13">
        <f>IFERROR($B23/$E23,0)</f>
        <v/>
      </c>
      <c r="G23" s="11" t="inlineStr">
        <is>
          <t>4 on 19 Dec</t>
        </is>
      </c>
    </row>
    <row r="24">
      <c r="A24" s="10" t="inlineStr">
        <is>
          <t>Mark Whitworth</t>
        </is>
      </c>
      <c r="B24" s="12">
        <f>SUMIFS(Detail!$G$4:$G$116,Detail!$A$4:$A$116,$A$2,Detail!$B$4:$B$116,$A24)</f>
        <v/>
      </c>
      <c r="C24" s="12">
        <f>IFERROR($B24/Assumptions!$B$5,0)</f>
        <v/>
      </c>
      <c r="D24" s="11" t="n">
        <v>5</v>
      </c>
      <c r="E24" s="12">
        <f>$D24*Assumptions!$B$5</f>
        <v/>
      </c>
      <c r="F24" s="13">
        <f>IFERROR($B24/$E24,0)</f>
        <v/>
      </c>
      <c r="G24" s="11" t="inlineStr">
        <is>
          <t>1 on 04 Dec</t>
        </is>
      </c>
    </row>
    <row r="25">
      <c r="A25" s="10" t="inlineStr">
        <is>
          <t>Muhammad Sulaiman</t>
        </is>
      </c>
      <c r="B25" s="12">
        <f>SUMIFS(Detail!$G$4:$G$116,Detail!$A$4:$A$116,$A$2,Detail!$B$4:$B$116,$A25)</f>
        <v/>
      </c>
      <c r="C25" s="12">
        <f>IFERROR($B25/Assumptions!$B$5,0)</f>
        <v/>
      </c>
      <c r="D25" s="11" t="n">
        <v>24</v>
      </c>
      <c r="E25" s="12">
        <f>$D25*Assumptions!$B$5</f>
        <v/>
      </c>
      <c r="F25" s="13">
        <f>IFERROR($B25/$E25,0)</f>
        <v/>
      </c>
      <c r="G25" s="11" t="inlineStr">
        <is>
          <t>5 on 22 Dec</t>
        </is>
      </c>
    </row>
    <row r="26">
      <c r="A26" s="10" t="inlineStr">
        <is>
          <t>Orwa Badran</t>
        </is>
      </c>
      <c r="B26" s="12">
        <f>SUMIFS(Detail!$G$4:$G$116,Detail!$A$4:$A$116,$A$2,Detail!$B$4:$B$116,$A26)</f>
        <v/>
      </c>
      <c r="C26" s="12">
        <f>IFERROR($B26/Assumptions!$B$5,0)</f>
        <v/>
      </c>
      <c r="D26" s="11" t="n">
        <v>24</v>
      </c>
      <c r="E26" s="12">
        <f>$D26*Assumptions!$B$5</f>
        <v/>
      </c>
      <c r="F26" s="13">
        <f>IFERROR($B26/$E26,0)</f>
        <v/>
      </c>
      <c r="G26" s="11" t="inlineStr">
        <is>
          <t>3 on 01 Dec</t>
        </is>
      </c>
    </row>
    <row r="27">
      <c r="A27" s="10" t="inlineStr">
        <is>
          <t>Ismail Kuyu</t>
        </is>
      </c>
      <c r="B27" s="12">
        <f>SUMIFS(Detail!$G$4:$G$116,Detail!$A$4:$A$116,$A$2,Detail!$B$4:$B$116,$A27)</f>
        <v/>
      </c>
      <c r="C27" s="12">
        <f>IFERROR($B27/Assumptions!$B$5,0)</f>
        <v/>
      </c>
      <c r="D27" s="11" t="n">
        <v>24</v>
      </c>
      <c r="E27" s="12">
        <f>$D27*Assumptions!$B$5</f>
        <v/>
      </c>
      <c r="F27" s="13">
        <f>IFERROR($B27/$E27,0)</f>
        <v/>
      </c>
      <c r="G27" s="11" t="inlineStr">
        <is>
          <t>5 on 04 Dec</t>
        </is>
      </c>
    </row>
    <row r="28">
      <c r="A28" s="3" t="inlineStr">
        <is>
          <t>TOTAL</t>
        </is>
      </c>
      <c r="B28" s="15">
        <f>SUM(B22:B27)</f>
        <v/>
      </c>
      <c r="C28" s="15">
        <f>SUM(C22:C27)</f>
        <v/>
      </c>
      <c r="D28" s="15">
        <f>SUM(D22:D27)</f>
        <v/>
      </c>
      <c r="E28" s="15">
        <f>SUM(E22:E27)</f>
        <v/>
      </c>
      <c r="F28" s="16">
        <f>IFERROR($B28/$E28,0)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2025-12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Shrikant Patil</t>
        </is>
      </c>
      <c r="B5" s="10" t="inlineStr">
        <is>
          <t>YODA-1656</t>
        </is>
      </c>
      <c r="C5" s="10" t="inlineStr">
        <is>
          <t>YODA-1656 [Audit] Cross cluster search</t>
        </is>
      </c>
      <c r="D5" s="12">
        <f>SUMIFS(Detail!$G$4:$G$116,Detail!$A$4:$A$116,$A$2,Detail!$B$4:$B$116,$A5,Detail!$C$4:$C$116,$B5)</f>
        <v/>
      </c>
    </row>
    <row r="6">
      <c r="A6" s="10" t="inlineStr">
        <is>
          <t>Shrikant Patil</t>
        </is>
      </c>
      <c r="B6" s="10" t="inlineStr">
        <is>
          <t>YODA-1672</t>
        </is>
      </c>
      <c r="C6" s="10" t="inlineStr">
        <is>
          <t>YODA-1672 Multi Region by Yoda</t>
        </is>
      </c>
      <c r="D6" s="12">
        <f>SUMIFS(Detail!$G$4:$G$116,Detail!$A$4:$A$116,$A$2,Detail!$B$4:$B$116,$A6,Detail!$C$4:$C$116,$B6)</f>
        <v/>
      </c>
    </row>
    <row r="7">
      <c r="A7" s="10" t="inlineStr">
        <is>
          <t>Richard Oliver</t>
        </is>
      </c>
      <c r="B7" s="10" t="inlineStr">
        <is>
          <t>YODA-1656</t>
        </is>
      </c>
      <c r="C7" s="10" t="inlineStr">
        <is>
          <t>YODA-1656 [Audit] Cross cluster search</t>
        </is>
      </c>
      <c r="D7" s="12">
        <f>SUMIFS(Detail!$G$4:$G$116,Detail!$A$4:$A$116,$A$2,Detail!$B$4:$B$116,$A7,Detail!$C$4:$C$116,$B7)</f>
        <v/>
      </c>
    </row>
    <row r="8">
      <c r="A8" s="10" t="inlineStr">
        <is>
          <t>Richard Oliver</t>
        </is>
      </c>
      <c r="B8" s="10" t="inlineStr">
        <is>
          <t>YODA-1672</t>
        </is>
      </c>
      <c r="C8" s="10" t="inlineStr">
        <is>
          <t>YODA-1672 Multi Region by Yoda</t>
        </is>
      </c>
      <c r="D8" s="12">
        <f>SUMIFS(Detail!$G$4:$G$116,Detail!$A$4:$A$116,$A$2,Detail!$B$4:$B$116,$A8,Detail!$C$4:$C$116,$B8)</f>
        <v/>
      </c>
    </row>
    <row r="9">
      <c r="A9" s="10" t="inlineStr">
        <is>
          <t>Parth Mewada</t>
        </is>
      </c>
      <c r="B9" s="10" t="inlineStr">
        <is>
          <t>YODA-1672</t>
        </is>
      </c>
      <c r="C9" s="10" t="inlineStr">
        <is>
          <t>YODA-1672 Multi Region by Yoda</t>
        </is>
      </c>
      <c r="D9" s="12">
        <f>SUMIFS(Detail!$G$4:$G$116,Detail!$A$4:$A$116,$A$2,Detail!$B$4:$B$116,$A9,Detail!$C$4:$C$116,$B9)</f>
        <v/>
      </c>
    </row>
    <row r="10">
      <c r="A10" s="10" t="inlineStr">
        <is>
          <t>Ramseshu Ghanta</t>
        </is>
      </c>
      <c r="B10" s="10" t="inlineStr">
        <is>
          <t>YODA-1429</t>
        </is>
      </c>
      <c r="C10" s="10" t="inlineStr">
        <is>
          <t>YODA-1429 [Audit] Backup strategy</t>
        </is>
      </c>
      <c r="D10" s="12">
        <f>SUMIFS(Detail!$G$4:$G$116,Detail!$A$4:$A$116,$A$2,Detail!$B$4:$B$116,$A10,Detail!$C$4:$C$116,$B10)</f>
        <v/>
      </c>
    </row>
    <row r="11">
      <c r="A11" s="10" t="inlineStr">
        <is>
          <t>Ramseshu Ghanta</t>
        </is>
      </c>
      <c r="B11" s="10" t="inlineStr">
        <is>
          <t>YODA-1672</t>
        </is>
      </c>
      <c r="C11" s="10" t="inlineStr">
        <is>
          <t>YODA-1672 Multi Region by Yoda</t>
        </is>
      </c>
      <c r="D11" s="12">
        <f>SUMIFS(Detail!$G$4:$G$116,Detail!$A$4:$A$116,$A$2,Detail!$B$4:$B$116,$A11,Detail!$C$4:$C$116,$B11)</f>
        <v/>
      </c>
    </row>
    <row r="12">
      <c r="A12" s="10" t="inlineStr">
        <is>
          <t>Mitali Patil</t>
        </is>
      </c>
      <c r="B12" s="10" t="inlineStr">
        <is>
          <t>YODA-1672</t>
        </is>
      </c>
      <c r="C12" s="10" t="inlineStr">
        <is>
          <t>YODA-1672 Multi Region by Yoda</t>
        </is>
      </c>
      <c r="D12" s="12">
        <f>SUMIFS(Detail!$G$4:$G$116,Detail!$A$4:$A$116,$A$2,Detail!$B$4:$B$116,$A12,Detail!$C$4:$C$116,$B12)</f>
        <v/>
      </c>
    </row>
    <row r="13">
      <c r="A13" s="17" t="n"/>
      <c r="B13" s="17" t="n"/>
      <c r="C13" s="18" t="inlineStr">
        <is>
          <t>TEAM TOTAL</t>
        </is>
      </c>
      <c r="D13" s="19">
        <f>SUM(D5:D12)</f>
        <v/>
      </c>
    </row>
    <row r="16">
      <c r="A16" s="6" t="inlineStr">
        <is>
          <t>Per engineer</t>
        </is>
      </c>
    </row>
    <row r="17">
      <c r="A17" s="9" t="inlineStr">
        <is>
          <t>Engineer</t>
        </is>
      </c>
      <c r="B17" s="9" t="inlineStr">
        <is>
          <t>WBSO hours</t>
        </is>
      </c>
      <c r="C17" s="9" t="inlineStr">
        <is>
          <t>Day equivalent</t>
        </is>
      </c>
      <c r="D17" s="9" t="inlineStr">
        <is>
          <t>Active days</t>
        </is>
      </c>
      <c r="E17" s="9" t="inlineStr">
        <is>
          <t>Capacity hours</t>
        </is>
      </c>
      <c r="F17" s="9" t="inlineStr">
        <is>
          <t>WBSO share</t>
        </is>
      </c>
      <c r="G17" s="9" t="inlineStr">
        <is>
          <t>Peak tickets/day</t>
        </is>
      </c>
    </row>
    <row r="18">
      <c r="A18" s="10" t="inlineStr">
        <is>
          <t>Shrikant Patil</t>
        </is>
      </c>
      <c r="B18" s="12">
        <f>SUMIFS(Detail!$G$4:$G$116,Detail!$A$4:$A$116,$A$2,Detail!$B$4:$B$116,$A18)</f>
        <v/>
      </c>
      <c r="C18" s="12">
        <f>IFERROR($B18/Assumptions!$B$5,0)</f>
        <v/>
      </c>
      <c r="D18" s="11" t="n">
        <v>24</v>
      </c>
      <c r="E18" s="12">
        <f>$D18*Assumptions!$B$5</f>
        <v/>
      </c>
      <c r="F18" s="13">
        <f>IFERROR($B18/$E18,0)</f>
        <v/>
      </c>
      <c r="G18" s="11" t="inlineStr">
        <is>
          <t>11 on 15 Dec</t>
        </is>
      </c>
    </row>
    <row r="19">
      <c r="A19" s="10" t="inlineStr">
        <is>
          <t>Richard Oliver</t>
        </is>
      </c>
      <c r="B19" s="12">
        <f>SUMIFS(Detail!$G$4:$G$116,Detail!$A$4:$A$116,$A$2,Detail!$B$4:$B$116,$A19)</f>
        <v/>
      </c>
      <c r="C19" s="12">
        <f>IFERROR($B19/Assumptions!$B$5,0)</f>
        <v/>
      </c>
      <c r="D19" s="11" t="n">
        <v>24</v>
      </c>
      <c r="E19" s="12">
        <f>$D19*Assumptions!$B$5</f>
        <v/>
      </c>
      <c r="F19" s="13">
        <f>IFERROR($B19/$E19,0)</f>
        <v/>
      </c>
      <c r="G19" s="11" t="inlineStr">
        <is>
          <t>3 on 15 Dec</t>
        </is>
      </c>
    </row>
    <row r="20">
      <c r="A20" s="10" t="inlineStr">
        <is>
          <t>Parth Mewada</t>
        </is>
      </c>
      <c r="B20" s="12">
        <f>SUMIFS(Detail!$G$4:$G$116,Detail!$A$4:$A$116,$A$2,Detail!$B$4:$B$116,$A20)</f>
        <v/>
      </c>
      <c r="C20" s="12">
        <f>IFERROR($B20/Assumptions!$B$5,0)</f>
        <v/>
      </c>
      <c r="D20" s="11" t="n">
        <v>24</v>
      </c>
      <c r="E20" s="12">
        <f>$D20*Assumptions!$B$5</f>
        <v/>
      </c>
      <c r="F20" s="13">
        <f>IFERROR($B20/$E20,0)</f>
        <v/>
      </c>
      <c r="G20" s="11" t="inlineStr">
        <is>
          <t>9 on 01 Dec</t>
        </is>
      </c>
    </row>
    <row r="21">
      <c r="A21" s="10" t="inlineStr">
        <is>
          <t>Ramseshu Ghanta</t>
        </is>
      </c>
      <c r="B21" s="12">
        <f>SUMIFS(Detail!$G$4:$G$116,Detail!$A$4:$A$116,$A$2,Detail!$B$4:$B$116,$A21)</f>
        <v/>
      </c>
      <c r="C21" s="12">
        <f>IFERROR($B21/Assumptions!$B$5,0)</f>
        <v/>
      </c>
      <c r="D21" s="11" t="n">
        <v>24</v>
      </c>
      <c r="E21" s="12">
        <f>$D21*Assumptions!$B$5</f>
        <v/>
      </c>
      <c r="F21" s="13">
        <f>IFERROR($B21/$E21,0)</f>
        <v/>
      </c>
      <c r="G21" s="11" t="inlineStr">
        <is>
          <t>5 on 01 Dec</t>
        </is>
      </c>
    </row>
    <row r="22">
      <c r="A22" s="10" t="inlineStr">
        <is>
          <t>Mitali Patil</t>
        </is>
      </c>
      <c r="B22" s="12">
        <f>SUMIFS(Detail!$G$4:$G$116,Detail!$A$4:$A$116,$A$2,Detail!$B$4:$B$116,$A22)</f>
        <v/>
      </c>
      <c r="C22" s="12">
        <f>IFERROR($B22/Assumptions!$B$5,0)</f>
        <v/>
      </c>
      <c r="D22" s="11" t="n">
        <v>11</v>
      </c>
      <c r="E22" s="12">
        <f>$D22*Assumptions!$B$5</f>
        <v/>
      </c>
      <c r="F22" s="13">
        <f>IFERROR($B22/$E22,0)</f>
        <v/>
      </c>
      <c r="G22" s="11" t="inlineStr">
        <is>
          <t>1 on 01 Dec</t>
        </is>
      </c>
    </row>
    <row r="23">
      <c r="A23" s="3" t="inlineStr">
        <is>
          <t>TOTAL</t>
        </is>
      </c>
      <c r="B23" s="15">
        <f>SUM(B18:B22)</f>
        <v/>
      </c>
      <c r="C23" s="15">
        <f>SUM(C18:C22)</f>
        <v/>
      </c>
      <c r="D23" s="15">
        <f>SUM(D18:D22)</f>
        <v/>
      </c>
      <c r="E23" s="15">
        <f>SUM(E18:E22)</f>
        <v/>
      </c>
      <c r="F23" s="16">
        <f>IFERROR($B23/$E23,0)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Basar Soker</t>
        </is>
      </c>
      <c r="C4" s="10" t="inlineStr">
        <is>
          <t>PT-421</t>
        </is>
      </c>
      <c r="D4" s="10" t="inlineStr">
        <is>
          <t>PT-421 Multi Region Implementation</t>
        </is>
      </c>
      <c r="E4" s="10" t="inlineStr">
        <is>
          <t>PT-528</t>
        </is>
      </c>
      <c r="F4" s="10" t="inlineStr">
        <is>
          <t>Using correct internal DNS for Central connec</t>
        </is>
      </c>
      <c r="G4" s="20" t="n">
        <v>13.0762</v>
      </c>
    </row>
    <row r="5">
      <c r="A5" s="10" t="inlineStr">
        <is>
          <t>Pastel de Portal Team</t>
        </is>
      </c>
      <c r="B5" s="10" t="inlineStr">
        <is>
          <t>Basar Soker</t>
        </is>
      </c>
      <c r="C5" s="10" t="inlineStr">
        <is>
          <t>PT-421</t>
        </is>
      </c>
      <c r="D5" s="10" t="inlineStr">
        <is>
          <t>PT-421 Multi Region Implementation</t>
        </is>
      </c>
      <c r="E5" s="10" t="inlineStr">
        <is>
          <t>PT-466</t>
        </is>
      </c>
      <c r="F5" s="10" t="inlineStr">
        <is>
          <t>Making KMS Keys multi-region reachable</t>
        </is>
      </c>
      <c r="G5" s="20" t="n">
        <v>9.333299999999999</v>
      </c>
    </row>
    <row r="6">
      <c r="A6" s="10" t="inlineStr">
        <is>
          <t>Pastel de Portal Team</t>
        </is>
      </c>
      <c r="B6" s="10" t="inlineStr">
        <is>
          <t>Basar Soker</t>
        </is>
      </c>
      <c r="C6" s="10" t="inlineStr">
        <is>
          <t>PT-421</t>
        </is>
      </c>
      <c r="D6" s="10" t="inlineStr">
        <is>
          <t>PT-421 Multi Region Implementation</t>
        </is>
      </c>
      <c r="E6" s="10" t="inlineStr">
        <is>
          <t>PT-521</t>
        </is>
      </c>
      <c r="F6" s="10" t="inlineStr">
        <is>
          <t>Make portalDashboardApiNLB reachable from Cen</t>
        </is>
      </c>
      <c r="G6" s="20" t="n">
        <v>6.4095</v>
      </c>
    </row>
    <row r="7">
      <c r="A7" s="10" t="inlineStr">
        <is>
          <t>Pastel de Portal Team</t>
        </is>
      </c>
      <c r="B7" s="10" t="inlineStr">
        <is>
          <t>Basar Soker</t>
        </is>
      </c>
      <c r="C7" s="10" t="inlineStr">
        <is>
          <t>PT-421</t>
        </is>
      </c>
      <c r="D7" s="10" t="inlineStr">
        <is>
          <t>PT-421 Multi Region Implementation</t>
        </is>
      </c>
      <c r="E7" s="10" t="inlineStr">
        <is>
          <t>PT-468</t>
        </is>
      </c>
      <c r="F7" s="10" t="inlineStr">
        <is>
          <t>Remove Dashboard Proxy Lambda &amp; API gateway -</t>
        </is>
      </c>
      <c r="G7" s="20" t="n">
        <v>5.3333</v>
      </c>
    </row>
    <row r="8">
      <c r="A8" s="10" t="inlineStr">
        <is>
          <t>Pastel de Portal Team</t>
        </is>
      </c>
      <c r="B8" s="10" t="inlineStr">
        <is>
          <t>Basar Soker</t>
        </is>
      </c>
      <c r="C8" s="10" t="inlineStr">
        <is>
          <t>PT-421</t>
        </is>
      </c>
      <c r="D8" s="10" t="inlineStr">
        <is>
          <t>PT-421 Multi Region Implementation</t>
        </is>
      </c>
      <c r="E8" s="10" t="inlineStr">
        <is>
          <t>PT-552</t>
        </is>
      </c>
      <c r="F8" s="10" t="inlineStr">
        <is>
          <t>Adjusting SES Service to work in Central</t>
        </is>
      </c>
      <c r="G8" s="20" t="n">
        <v>4.5333</v>
      </c>
    </row>
    <row r="9">
      <c r="A9" s="10" t="inlineStr">
        <is>
          <t>Pastel de Portal Team</t>
        </is>
      </c>
      <c r="B9" s="10" t="inlineStr">
        <is>
          <t>Basar Soker</t>
        </is>
      </c>
      <c r="C9" s="10" t="inlineStr">
        <is>
          <t>PT-421</t>
        </is>
      </c>
      <c r="D9" s="10" t="inlineStr">
        <is>
          <t>PT-421 Multi Region Implementation</t>
        </is>
      </c>
      <c r="E9" s="10" t="inlineStr">
        <is>
          <t>PT-522</t>
        </is>
      </c>
      <c r="F9" s="10" t="inlineStr">
        <is>
          <t>Researching and Testing GoDaddy Hosted Domain</t>
        </is>
      </c>
      <c r="G9" s="20" t="n">
        <v>3.7429</v>
      </c>
    </row>
    <row r="10">
      <c r="A10" s="10" t="inlineStr">
        <is>
          <t>Pastel de Portal Team</t>
        </is>
      </c>
      <c r="B10" s="10" t="inlineStr">
        <is>
          <t>Basar Soker</t>
        </is>
      </c>
      <c r="C10" s="10" t="inlineStr">
        <is>
          <t>PT-421</t>
        </is>
      </c>
      <c r="D10" s="10" t="inlineStr">
        <is>
          <t>PT-421 Multi Region Implementation</t>
        </is>
      </c>
      <c r="E10" s="10" t="inlineStr">
        <is>
          <t>PT-523</t>
        </is>
      </c>
      <c r="F10" s="10" t="inlineStr">
        <is>
          <t>Run Automatically Triggered Pipelines for Bot</t>
        </is>
      </c>
      <c r="G10" s="20" t="n">
        <v>3.7429</v>
      </c>
    </row>
    <row r="11">
      <c r="A11" s="10" t="inlineStr">
        <is>
          <t>Pastel de Portal Team</t>
        </is>
      </c>
      <c r="B11" s="10" t="inlineStr">
        <is>
          <t>Basar Soker</t>
        </is>
      </c>
      <c r="C11" s="10" t="inlineStr">
        <is>
          <t>PT-421</t>
        </is>
      </c>
      <c r="D11" s="10" t="inlineStr">
        <is>
          <t>PT-421 Multi Region Implementation</t>
        </is>
      </c>
      <c r="E11" s="10" t="inlineStr">
        <is>
          <t>PT-561</t>
        </is>
      </c>
      <c r="F11" s="10" t="inlineStr">
        <is>
          <t>Fix for not replicated Secrets to Central</t>
        </is>
      </c>
      <c r="G11" s="20" t="n">
        <v>2.9333</v>
      </c>
    </row>
    <row r="12">
      <c r="A12" s="10" t="inlineStr">
        <is>
          <t>Pastel de Portal Team</t>
        </is>
      </c>
      <c r="B12" s="10" t="inlineStr">
        <is>
          <t>Basar Soker</t>
        </is>
      </c>
      <c r="C12" s="10" t="inlineStr">
        <is>
          <t>PT-421</t>
        </is>
      </c>
      <c r="D12" s="10" t="inlineStr">
        <is>
          <t>PT-421 Multi Region Implementation</t>
        </is>
      </c>
      <c r="E12" s="10" t="inlineStr">
        <is>
          <t>PT-465</t>
        </is>
      </c>
      <c r="F12" s="10" t="inlineStr">
        <is>
          <t>Making DynamoDB multi-region reachable</t>
        </is>
      </c>
      <c r="G12" s="20" t="n">
        <v>2.6667</v>
      </c>
    </row>
    <row r="13">
      <c r="A13" s="10" t="inlineStr">
        <is>
          <t>Pastel de Portal Team</t>
        </is>
      </c>
      <c r="B13" s="10" t="inlineStr">
        <is>
          <t>Basar Soker</t>
        </is>
      </c>
      <c r="C13" s="10" t="inlineStr">
        <is>
          <t>PT-421</t>
        </is>
      </c>
      <c r="D13" s="10" t="inlineStr">
        <is>
          <t>PT-421 Multi Region Implementation</t>
        </is>
      </c>
      <c r="E13" s="10" t="inlineStr">
        <is>
          <t>PT-525</t>
        </is>
      </c>
      <c r="F13" s="10" t="inlineStr">
        <is>
          <t>Change weights in `weighted` DNS routing of P</t>
        </is>
      </c>
      <c r="G13" s="20" t="n">
        <v>2.6667</v>
      </c>
    </row>
    <row r="14">
      <c r="A14" s="10" t="inlineStr">
        <is>
          <t>Pastel de Portal Team</t>
        </is>
      </c>
      <c r="B14" s="10" t="inlineStr">
        <is>
          <t>Basar Soker</t>
        </is>
      </c>
      <c r="C14" s="10" t="inlineStr">
        <is>
          <t>PT-421</t>
        </is>
      </c>
      <c r="D14" s="10" t="inlineStr">
        <is>
          <t>PT-421 Multi Region Implementation</t>
        </is>
      </c>
      <c r="E14" s="10" t="inlineStr">
        <is>
          <t>PT-531</t>
        </is>
      </c>
      <c r="F14" s="10" t="inlineStr">
        <is>
          <t xml:space="preserve">Accessibility to West Bulk Checker S3 bucket </t>
        </is>
      </c>
      <c r="G14" s="20" t="n">
        <v>2.6667</v>
      </c>
    </row>
    <row r="15">
      <c r="A15" s="10" t="inlineStr">
        <is>
          <t>Pastel de Portal Team</t>
        </is>
      </c>
      <c r="B15" s="10" t="inlineStr">
        <is>
          <t>Basar Soker</t>
        </is>
      </c>
      <c r="C15" s="10" t="inlineStr">
        <is>
          <t>PT-421</t>
        </is>
      </c>
      <c r="D15" s="10" t="inlineStr">
        <is>
          <t>PT-421 Multi Region Implementation</t>
        </is>
      </c>
      <c r="E15" s="10" t="inlineStr">
        <is>
          <t>PT-515</t>
        </is>
      </c>
      <c r="F15" s="10" t="inlineStr">
        <is>
          <t xml:space="preserve">MUFG and Surepay Auth0 Tenant DNS Change for </t>
        </is>
      </c>
      <c r="G15" s="20" t="n">
        <v>2.1429</v>
      </c>
    </row>
    <row r="16">
      <c r="A16" s="10" t="inlineStr">
        <is>
          <t>Pastel de Portal Team</t>
        </is>
      </c>
      <c r="B16" s="10" t="inlineStr">
        <is>
          <t>Basar Soker</t>
        </is>
      </c>
      <c r="C16" s="10" t="inlineStr">
        <is>
          <t>PT-421</t>
        </is>
      </c>
      <c r="D16" s="10" t="inlineStr">
        <is>
          <t>PT-421 Multi Region Implementation</t>
        </is>
      </c>
      <c r="E16" s="10" t="inlineStr">
        <is>
          <t>PT-524</t>
        </is>
      </c>
      <c r="F16" s="10" t="inlineStr">
        <is>
          <t>Changing all Portal DNS routing to `weighted`</t>
        </is>
      </c>
      <c r="G16" s="20" t="n">
        <v>2</v>
      </c>
    </row>
    <row r="17">
      <c r="A17" s="10" t="inlineStr">
        <is>
          <t>Pastel de Portal Team</t>
        </is>
      </c>
      <c r="B17" s="10" t="inlineStr">
        <is>
          <t>Basar Soker</t>
        </is>
      </c>
      <c r="C17" s="10" t="inlineStr">
        <is>
          <t>PT-421</t>
        </is>
      </c>
      <c r="D17" s="10" t="inlineStr">
        <is>
          <t>PT-421 Multi Region Implementation</t>
        </is>
      </c>
      <c r="E17" s="10" t="inlineStr">
        <is>
          <t>PT-546</t>
        </is>
      </c>
      <c r="F17" s="10" t="inlineStr">
        <is>
          <t>Changing all Portal DNS routing to `weighted`</t>
        </is>
      </c>
      <c r="G17" s="20" t="n">
        <v>1.6</v>
      </c>
    </row>
    <row r="18">
      <c r="A18" s="10" t="inlineStr">
        <is>
          <t>Pastel de Portal Team</t>
        </is>
      </c>
      <c r="B18" s="10" t="inlineStr">
        <is>
          <t>Basar Soker</t>
        </is>
      </c>
      <c r="C18" s="10" t="inlineStr">
        <is>
          <t>PT-421</t>
        </is>
      </c>
      <c r="D18" s="10" t="inlineStr">
        <is>
          <t>PT-421 Multi Region Implementation</t>
        </is>
      </c>
      <c r="E18" s="10" t="inlineStr">
        <is>
          <t>PT-569</t>
        </is>
      </c>
      <c r="F18" s="10" t="inlineStr">
        <is>
          <t>AWS SES Verification fails after a while</t>
        </is>
      </c>
      <c r="G18" s="20" t="n">
        <v>1.3333</v>
      </c>
    </row>
    <row r="19">
      <c r="A19" s="10" t="inlineStr">
        <is>
          <t>Pastel de Portal Team</t>
        </is>
      </c>
      <c r="B19" s="10" t="inlineStr">
        <is>
          <t>alan.silva</t>
        </is>
      </c>
      <c r="C19" s="10" t="inlineStr">
        <is>
          <t>PT-351</t>
        </is>
      </c>
      <c r="D19" s="10" t="inlineStr">
        <is>
          <t>PT-351 VOP File Check Improvements</t>
        </is>
      </c>
      <c r="E19" s="10" t="inlineStr">
        <is>
          <t>PT-514</t>
        </is>
      </c>
      <c r="F19" s="10" t="inlineStr">
        <is>
          <t xml:space="preserve">Update CSV template for VOP File check - add </t>
        </is>
      </c>
      <c r="G19" s="20" t="n">
        <v>4</v>
      </c>
    </row>
    <row r="20">
      <c r="A20" s="10" t="inlineStr">
        <is>
          <t>Pastel de Portal Team</t>
        </is>
      </c>
      <c r="B20" s="10" t="inlineStr">
        <is>
          <t>alan.silva</t>
        </is>
      </c>
      <c r="C20" s="10" t="inlineStr">
        <is>
          <t>PT-351</t>
        </is>
      </c>
      <c r="D20" s="10" t="inlineStr">
        <is>
          <t>PT-351 VOP File Check Improvements</t>
        </is>
      </c>
      <c r="E20" s="10" t="inlineStr">
        <is>
          <t>PT-448</t>
        </is>
      </c>
      <c r="F20" s="10" t="inlineStr">
        <is>
          <t>Guide (CSV &amp; Excel) for VoP Filecheck (1st ph</t>
        </is>
      </c>
      <c r="G20" s="20" t="n">
        <v>2</v>
      </c>
    </row>
    <row r="21">
      <c r="A21" s="10" t="inlineStr">
        <is>
          <t>Pastel de Portal Team</t>
        </is>
      </c>
      <c r="B21" s="10" t="inlineStr">
        <is>
          <t>alan.silva</t>
        </is>
      </c>
      <c r="C21" s="10" t="inlineStr">
        <is>
          <t>PT-421</t>
        </is>
      </c>
      <c r="D21" s="10" t="inlineStr">
        <is>
          <t>PT-421 Multi Region Implementation</t>
        </is>
      </c>
      <c r="E21" s="10" t="inlineStr">
        <is>
          <t>PT-427</t>
        </is>
      </c>
      <c r="F21" s="10" t="inlineStr">
        <is>
          <t>Test and validate Multi-region (start: 5 Dece</t>
        </is>
      </c>
      <c r="G21" s="20" t="n">
        <v>45.8667</v>
      </c>
    </row>
    <row r="22">
      <c r="A22" s="10" t="inlineStr">
        <is>
          <t>Pastel de Portal Team</t>
        </is>
      </c>
      <c r="B22" s="10" t="inlineStr">
        <is>
          <t>alan.silva</t>
        </is>
      </c>
      <c r="C22" s="10" t="inlineStr">
        <is>
          <t>PT-421</t>
        </is>
      </c>
      <c r="D22" s="10" t="inlineStr">
        <is>
          <t>PT-421 Multi Region Implementation</t>
        </is>
      </c>
      <c r="E22" s="10" t="inlineStr">
        <is>
          <t>PT-476</t>
        </is>
      </c>
      <c r="F22" s="10" t="inlineStr">
        <is>
          <t>Automation for Multi Region Tests</t>
        </is>
      </c>
      <c r="G22" s="20" t="n">
        <v>8</v>
      </c>
    </row>
    <row r="23">
      <c r="A23" s="10" t="inlineStr">
        <is>
          <t>Pastel de Portal Team</t>
        </is>
      </c>
      <c r="B23" s="10" t="inlineStr">
        <is>
          <t>alan.silva</t>
        </is>
      </c>
      <c r="C23" s="10" t="inlineStr">
        <is>
          <t>PT-421</t>
        </is>
      </c>
      <c r="D23" s="10" t="inlineStr">
        <is>
          <t>PT-421 Multi Region Implementation</t>
        </is>
      </c>
      <c r="E23" s="10" t="inlineStr">
        <is>
          <t>PT-550</t>
        </is>
      </c>
      <c r="F23" s="10" t="inlineStr">
        <is>
          <t>Billing with error message "A technical error</t>
        </is>
      </c>
      <c r="G23" s="20" t="n">
        <v>3.6</v>
      </c>
    </row>
    <row r="24">
      <c r="A24" s="10" t="inlineStr">
        <is>
          <t>Pastel de Portal Team</t>
        </is>
      </c>
      <c r="B24" s="10" t="inlineStr">
        <is>
          <t>Fabio Santos</t>
        </is>
      </c>
      <c r="C24" s="10" t="inlineStr">
        <is>
          <t>PT-351</t>
        </is>
      </c>
      <c r="D24" s="10" t="inlineStr">
        <is>
          <t>PT-351 VOP File Check Improvements</t>
        </is>
      </c>
      <c r="E24" s="10" t="inlineStr">
        <is>
          <t>PT-448</t>
        </is>
      </c>
      <c r="F24" s="10" t="inlineStr">
        <is>
          <t>Guide (CSV &amp; Excel) for VoP Filecheck (1st ph</t>
        </is>
      </c>
      <c r="G24" s="20" t="n">
        <v>36.5333</v>
      </c>
    </row>
    <row r="25">
      <c r="A25" s="10" t="inlineStr">
        <is>
          <t>Pastel de Portal Team</t>
        </is>
      </c>
      <c r="B25" s="10" t="inlineStr">
        <is>
          <t>Fabio Santos</t>
        </is>
      </c>
      <c r="C25" s="10" t="inlineStr">
        <is>
          <t>PT-351</t>
        </is>
      </c>
      <c r="D25" s="10" t="inlineStr">
        <is>
          <t>PT-351 VOP File Check Improvements</t>
        </is>
      </c>
      <c r="E25" s="10" t="inlineStr">
        <is>
          <t>PT-514</t>
        </is>
      </c>
      <c r="F25" s="10" t="inlineStr">
        <is>
          <t xml:space="preserve">Update CSV template for VOP File check - add </t>
        </is>
      </c>
      <c r="G25" s="20" t="n">
        <v>2.6667</v>
      </c>
    </row>
    <row r="26">
      <c r="A26" s="10" t="inlineStr">
        <is>
          <t>Pastel de Portal Team</t>
        </is>
      </c>
      <c r="B26" s="10" t="inlineStr">
        <is>
          <t>Vitor Fernandes</t>
        </is>
      </c>
      <c r="C26" s="10" t="inlineStr">
        <is>
          <t>PT-421</t>
        </is>
      </c>
      <c r="D26" s="10" t="inlineStr">
        <is>
          <t>PT-421 Multi Region Implementation</t>
        </is>
      </c>
      <c r="E26" s="10" t="inlineStr">
        <is>
          <t>PT-550</t>
        </is>
      </c>
      <c r="F26" s="10" t="inlineStr">
        <is>
          <t>Billing with error message "A technical error</t>
        </is>
      </c>
      <c r="G26" s="20" t="n">
        <v>6.4762</v>
      </c>
    </row>
    <row r="27">
      <c r="A27" s="10" t="inlineStr">
        <is>
          <t>Pastel de Portal Team</t>
        </is>
      </c>
      <c r="B27" s="10" t="inlineStr">
        <is>
          <t>Vitor Fernandes</t>
        </is>
      </c>
      <c r="C27" s="10" t="inlineStr">
        <is>
          <t>PT-421</t>
        </is>
      </c>
      <c r="D27" s="10" t="inlineStr">
        <is>
          <t>PT-421 Multi Region Implementation</t>
        </is>
      </c>
      <c r="E27" s="10" t="inlineStr">
        <is>
          <t>PT-428</t>
        </is>
      </c>
      <c r="F27" s="10" t="inlineStr">
        <is>
          <t>Audit api gateway and lambdas deprecation</t>
        </is>
      </c>
      <c r="G27" s="20" t="n">
        <v>5.4095</v>
      </c>
    </row>
    <row r="28">
      <c r="A28" s="10" t="inlineStr">
        <is>
          <t>Platform Team 6</t>
        </is>
      </c>
      <c r="B28" s="10" t="inlineStr">
        <is>
          <t>Venkata Mannam</t>
        </is>
      </c>
      <c r="C28" s="10" t="inlineStr">
        <is>
          <t>PT6-1419</t>
        </is>
      </c>
      <c r="D28" s="10" t="inlineStr">
        <is>
          <t>PT6-1419 Traefik migration V3</t>
        </is>
      </c>
      <c r="E28" s="10" t="inlineStr">
        <is>
          <t>PT6-1984</t>
        </is>
      </c>
      <c r="F28" s="10" t="inlineStr">
        <is>
          <t>Migrate to 3.6 Traefik Inbound</t>
        </is>
      </c>
      <c r="G28" s="20" t="n">
        <v>32</v>
      </c>
    </row>
    <row r="29">
      <c r="A29" s="10" t="inlineStr">
        <is>
          <t>Platform Team 6</t>
        </is>
      </c>
      <c r="B29" s="10" t="inlineStr">
        <is>
          <t>Venkata Mannam</t>
        </is>
      </c>
      <c r="C29" s="10" t="inlineStr">
        <is>
          <t>PT6-1419</t>
        </is>
      </c>
      <c r="D29" s="10" t="inlineStr">
        <is>
          <t>PT6-1419 Traefik migration V3</t>
        </is>
      </c>
      <c r="E29" s="10" t="inlineStr">
        <is>
          <t>PT6-1989</t>
        </is>
      </c>
      <c r="F29" s="10" t="inlineStr">
        <is>
          <t>Migrate to 3.6 Traefik Outbound</t>
        </is>
      </c>
      <c r="G29" s="20" t="n">
        <v>29.3333</v>
      </c>
    </row>
    <row r="30">
      <c r="A30" s="10" t="inlineStr">
        <is>
          <t>Platform Team 6</t>
        </is>
      </c>
      <c r="B30" s="10" t="inlineStr">
        <is>
          <t>Venkata Mannam</t>
        </is>
      </c>
      <c r="C30" s="10" t="inlineStr">
        <is>
          <t>PT6-1419</t>
        </is>
      </c>
      <c r="D30" s="10" t="inlineStr">
        <is>
          <t>PT6-1419 Traefik migration V3</t>
        </is>
      </c>
      <c r="E30" s="10" t="inlineStr">
        <is>
          <t>PT6-1998</t>
        </is>
      </c>
      <c r="F30" s="10" t="inlineStr">
        <is>
          <t>Fix OTLP collector export issue</t>
        </is>
      </c>
      <c r="G30" s="20" t="n">
        <v>28</v>
      </c>
    </row>
    <row r="31">
      <c r="A31" s="10" t="inlineStr">
        <is>
          <t>Platform Team 6</t>
        </is>
      </c>
      <c r="B31" s="10" t="inlineStr">
        <is>
          <t>Venkata Mannam</t>
        </is>
      </c>
      <c r="C31" s="10" t="inlineStr">
        <is>
          <t>PT6-1419</t>
        </is>
      </c>
      <c r="D31" s="10" t="inlineStr">
        <is>
          <t>PT6-1419 Traefik migration V3</t>
        </is>
      </c>
      <c r="E31" s="10" t="inlineStr">
        <is>
          <t>PT6-1957</t>
        </is>
      </c>
      <c r="F31" s="10" t="inlineStr">
        <is>
          <t>Migrate existing ingressroutes and ingressrou</t>
        </is>
      </c>
      <c r="G31" s="20" t="n">
        <v>26.6667</v>
      </c>
    </row>
    <row r="32">
      <c r="A32" s="10" t="inlineStr">
        <is>
          <t>Platform Team 6</t>
        </is>
      </c>
      <c r="B32" s="10" t="inlineStr">
        <is>
          <t>Venkata Mannam</t>
        </is>
      </c>
      <c r="C32" s="10" t="inlineStr">
        <is>
          <t>PT6-1419</t>
        </is>
      </c>
      <c r="D32" s="10" t="inlineStr">
        <is>
          <t>PT6-1419 Traefik migration V3</t>
        </is>
      </c>
      <c r="E32" s="10" t="inlineStr">
        <is>
          <t>PT6-1958</t>
        </is>
      </c>
      <c r="F32" s="10" t="inlineStr">
        <is>
          <t>Migrate existing middlewares and middlewarest</t>
        </is>
      </c>
      <c r="G32" s="20" t="n">
        <v>14.6667</v>
      </c>
    </row>
    <row r="33">
      <c r="A33" s="10" t="inlineStr">
        <is>
          <t>Platform Team 6</t>
        </is>
      </c>
      <c r="B33" s="10" t="inlineStr">
        <is>
          <t>Venkata Mannam</t>
        </is>
      </c>
      <c r="C33" s="10" t="inlineStr">
        <is>
          <t>PT6-1419</t>
        </is>
      </c>
      <c r="D33" s="10" t="inlineStr">
        <is>
          <t>PT6-1419 Traefik migration V3</t>
        </is>
      </c>
      <c r="E33" s="10" t="inlineStr">
        <is>
          <t>PT6-2023</t>
        </is>
      </c>
      <c r="F33" s="10" t="inlineStr">
        <is>
          <t>Disable traefik metrics target group on traef</t>
        </is>
      </c>
      <c r="G33" s="20" t="n">
        <v>5.3333</v>
      </c>
    </row>
    <row r="34">
      <c r="A34" s="10" t="inlineStr">
        <is>
          <t>Platform Team 6</t>
        </is>
      </c>
      <c r="B34" s="10" t="inlineStr">
        <is>
          <t>Venkata Mannam</t>
        </is>
      </c>
      <c r="C34" s="10" t="inlineStr">
        <is>
          <t>PT6-1670</t>
        </is>
      </c>
      <c r="D34" s="10" t="inlineStr">
        <is>
          <t xml:space="preserve">PT6-1670 Multi region </t>
        </is>
      </c>
      <c r="E34" s="10" t="inlineStr">
        <is>
          <t>PT6-2014</t>
        </is>
      </c>
      <c r="F34" s="10" t="inlineStr">
        <is>
          <t>Generate report for multi region switch 2nd w</t>
        </is>
      </c>
      <c r="G34" s="20" t="n">
        <v>8</v>
      </c>
    </row>
    <row r="35">
      <c r="A35" s="10" t="inlineStr">
        <is>
          <t>Platform Team 6</t>
        </is>
      </c>
      <c r="B35" s="10" t="inlineStr">
        <is>
          <t>Venkata Mannam</t>
        </is>
      </c>
      <c r="C35" s="10" t="inlineStr">
        <is>
          <t>PT6-1670</t>
        </is>
      </c>
      <c r="D35" s="10" t="inlineStr">
        <is>
          <t xml:space="preserve">PT6-1670 Multi region </t>
        </is>
      </c>
      <c r="E35" s="10" t="inlineStr">
        <is>
          <t>PT6-2018</t>
        </is>
      </c>
      <c r="F35" s="10" t="inlineStr">
        <is>
          <t>Scale traefik on prod central</t>
        </is>
      </c>
      <c r="G35" s="20" t="n">
        <v>5.3333</v>
      </c>
    </row>
    <row r="36">
      <c r="A36" s="10" t="inlineStr">
        <is>
          <t>Platform Team 6</t>
        </is>
      </c>
      <c r="B36" s="10" t="inlineStr">
        <is>
          <t>Venkata Mannam</t>
        </is>
      </c>
      <c r="C36" s="10" t="inlineStr">
        <is>
          <t>PT6-1911</t>
        </is>
      </c>
      <c r="D36" s="10" t="inlineStr">
        <is>
          <t>PT6-1911 Observability</t>
        </is>
      </c>
      <c r="E36" s="10" t="inlineStr">
        <is>
          <t>PT6-2008</t>
        </is>
      </c>
      <c r="F36" s="10" t="inlineStr">
        <is>
          <t>Export traefik metrics data</t>
        </is>
      </c>
      <c r="G36" s="20" t="n">
        <v>14.6667</v>
      </c>
    </row>
    <row r="37">
      <c r="A37" s="10" t="inlineStr">
        <is>
          <t>Platform Team 6</t>
        </is>
      </c>
      <c r="B37" s="10" t="inlineStr">
        <is>
          <t>Elton Qevani</t>
        </is>
      </c>
      <c r="C37" s="10" t="inlineStr">
        <is>
          <t>PT6-1670</t>
        </is>
      </c>
      <c r="D37" s="10" t="inlineStr">
        <is>
          <t xml:space="preserve">PT6-1670 Multi region </t>
        </is>
      </c>
      <c r="E37" s="10" t="inlineStr">
        <is>
          <t>PT6-1946</t>
        </is>
      </c>
      <c r="F37" s="10" t="inlineStr">
        <is>
          <t>[TIMEBOX 1 DAY]Investigate route53 health che</t>
        </is>
      </c>
      <c r="G37" s="20" t="n">
        <v>24</v>
      </c>
    </row>
    <row r="38">
      <c r="A38" s="10" t="inlineStr">
        <is>
          <t>Platform Team 6</t>
        </is>
      </c>
      <c r="B38" s="10" t="inlineStr">
        <is>
          <t>Elton Qevani</t>
        </is>
      </c>
      <c r="C38" s="10" t="inlineStr">
        <is>
          <t>PT6-1710</t>
        </is>
      </c>
      <c r="D38" s="10" t="inlineStr">
        <is>
          <t xml:space="preserve">PT6-1710 K8s/Traefik Enhancements  </t>
        </is>
      </c>
      <c r="E38" s="10" t="inlineStr">
        <is>
          <t>PT6-1888</t>
        </is>
      </c>
      <c r="F38" s="10" t="inlineStr">
        <is>
          <t>Inbound - Amazon EKS Kubernetes 1.31 end of s</t>
        </is>
      </c>
      <c r="G38" s="20" t="n">
        <v>24</v>
      </c>
    </row>
    <row r="39">
      <c r="A39" s="10" t="inlineStr">
        <is>
          <t>Platform Team 6</t>
        </is>
      </c>
      <c r="B39" s="10" t="inlineStr">
        <is>
          <t>Elton Qevani</t>
        </is>
      </c>
      <c r="C39" s="10" t="inlineStr">
        <is>
          <t>PT6-1911</t>
        </is>
      </c>
      <c r="D39" s="10" t="inlineStr">
        <is>
          <t>PT6-1911 Observability</t>
        </is>
      </c>
      <c r="E39" s="10" t="inlineStr">
        <is>
          <t>PT6-1968</t>
        </is>
      </c>
      <c r="F39" s="10" t="inlineStr">
        <is>
          <t>[TIMEBOX 2 DAYS]Investigate logs ingestion</t>
        </is>
      </c>
      <c r="G39" s="20" t="n">
        <v>56</v>
      </c>
    </row>
    <row r="40">
      <c r="A40" s="10" t="inlineStr">
        <is>
          <t>Platform Team 6</t>
        </is>
      </c>
      <c r="B40" s="10" t="inlineStr">
        <is>
          <t>Elton Qevani</t>
        </is>
      </c>
      <c r="C40" s="10" t="inlineStr">
        <is>
          <t>PT6-1911</t>
        </is>
      </c>
      <c r="D40" s="10" t="inlineStr">
        <is>
          <t>PT6-1911 Observability</t>
        </is>
      </c>
      <c r="E40" s="10" t="inlineStr">
        <is>
          <t>PT6-1936</t>
        </is>
      </c>
      <c r="F40" s="10" t="inlineStr">
        <is>
          <t>Upgrade elastic cloud to 9</t>
        </is>
      </c>
      <c r="G40" s="20" t="n">
        <v>24</v>
      </c>
    </row>
    <row r="41">
      <c r="A41" s="10" t="inlineStr">
        <is>
          <t>Platform Team 6</t>
        </is>
      </c>
      <c r="B41" s="10" t="inlineStr">
        <is>
          <t>Mete Han Karacüllü</t>
        </is>
      </c>
      <c r="C41" s="10" t="inlineStr">
        <is>
          <t>PT6-1670</t>
        </is>
      </c>
      <c r="D41" s="10" t="inlineStr">
        <is>
          <t xml:space="preserve">PT6-1670 Multi region </t>
        </is>
      </c>
      <c r="E41" s="10" t="inlineStr">
        <is>
          <t>PT6-2002</t>
        </is>
      </c>
      <c r="F41" s="10" t="inlineStr">
        <is>
          <t>Simplify fetching peering id for multi-region</t>
        </is>
      </c>
      <c r="G41" s="20" t="n">
        <v>64</v>
      </c>
    </row>
    <row r="42">
      <c r="A42" s="10" t="inlineStr">
        <is>
          <t>Platform Team 6</t>
        </is>
      </c>
      <c r="B42" s="10" t="inlineStr">
        <is>
          <t>Iakovos Belonias</t>
        </is>
      </c>
      <c r="C42" s="10" t="inlineStr">
        <is>
          <t>PT6-1419</t>
        </is>
      </c>
      <c r="D42" s="10" t="inlineStr">
        <is>
          <t>PT6-1419 Traefik migration V3</t>
        </is>
      </c>
      <c r="E42" s="10" t="inlineStr">
        <is>
          <t>PT6-1985</t>
        </is>
      </c>
      <c r="F42" s="10" t="inlineStr">
        <is>
          <t>Remove old CRDs</t>
        </is>
      </c>
      <c r="G42" s="20" t="n">
        <v>6.6667</v>
      </c>
    </row>
    <row r="43">
      <c r="A43" s="10" t="inlineStr">
        <is>
          <t>Platform Team 6</t>
        </is>
      </c>
      <c r="B43" s="10" t="inlineStr">
        <is>
          <t>Iakovos Belonias</t>
        </is>
      </c>
      <c r="C43" s="10" t="inlineStr">
        <is>
          <t>PT6-1911</t>
        </is>
      </c>
      <c r="D43" s="10" t="inlineStr">
        <is>
          <t>PT6-1911 Observability</t>
        </is>
      </c>
      <c r="E43" s="10" t="inlineStr">
        <is>
          <t>PT6-1964</t>
        </is>
      </c>
      <c r="F43" s="10" t="inlineStr">
        <is>
          <t>add autoscaling for admin,monitoring proxy an</t>
        </is>
      </c>
      <c r="G43" s="20" t="n">
        <v>26.6667</v>
      </c>
    </row>
    <row r="44">
      <c r="A44" s="10" t="inlineStr">
        <is>
          <t>Team Horizon</t>
        </is>
      </c>
      <c r="B44" s="10" t="inlineStr">
        <is>
          <t>Péter Veres</t>
        </is>
      </c>
      <c r="C44" s="10" t="inlineStr">
        <is>
          <t>SUK-5790</t>
        </is>
      </c>
      <c r="D44" s="10" t="inlineStr">
        <is>
          <t>SUK-5790 VOP Improvements  - 2025</t>
        </is>
      </c>
      <c r="E44" s="10" t="inlineStr">
        <is>
          <t>SUK-5935</t>
        </is>
      </c>
      <c r="F44" s="10" t="inlineStr">
        <is>
          <t>[EU-VOP] [Outbound] New error response header</t>
        </is>
      </c>
      <c r="G44" s="20" t="n">
        <v>96</v>
      </c>
    </row>
    <row r="45">
      <c r="A45" s="10" t="inlineStr">
        <is>
          <t>Team Horizon</t>
        </is>
      </c>
      <c r="B45" s="10" t="inlineStr">
        <is>
          <t>Adorjan Fritz</t>
        </is>
      </c>
      <c r="C45" s="10" t="inlineStr">
        <is>
          <t>SUK-5790</t>
        </is>
      </c>
      <c r="D45" s="10" t="inlineStr">
        <is>
          <t>SUK-5790 VOP Improvements  - 2025</t>
        </is>
      </c>
      <c r="E45" s="10" t="inlineStr">
        <is>
          <t>SUK-5705</t>
        </is>
      </c>
      <c r="F45" s="10" t="inlineStr">
        <is>
          <t>[EU-VOP] Create E2E test suite to run via pip</t>
        </is>
      </c>
      <c r="G45" s="20" t="n">
        <v>60</v>
      </c>
    </row>
    <row r="46">
      <c r="A46" s="10" t="inlineStr">
        <is>
          <t>Team Horizon</t>
        </is>
      </c>
      <c r="B46" s="10" t="inlineStr">
        <is>
          <t>Adorjan Fritz</t>
        </is>
      </c>
      <c r="C46" s="10" t="inlineStr">
        <is>
          <t>SUK-5790</t>
        </is>
      </c>
      <c r="D46" s="10" t="inlineStr">
        <is>
          <t>SUK-5790 VOP Improvements  - 2025</t>
        </is>
      </c>
      <c r="E46" s="10" t="inlineStr">
        <is>
          <t>SUK-5706</t>
        </is>
      </c>
      <c r="F46" s="10" t="inlineStr">
        <is>
          <t>[EU-VOP] Create E2E test suite to run via pip</t>
        </is>
      </c>
      <c r="G46" s="20" t="n">
        <v>32</v>
      </c>
    </row>
    <row r="47">
      <c r="A47" s="10" t="inlineStr">
        <is>
          <t>Team Horizon</t>
        </is>
      </c>
      <c r="B47" s="10" t="inlineStr">
        <is>
          <t>Ryan Shepherd</t>
        </is>
      </c>
      <c r="C47" s="10" t="inlineStr">
        <is>
          <t>SUK-5790</t>
        </is>
      </c>
      <c r="D47" s="10" t="inlineStr">
        <is>
          <t>SUK-5790 VOP Improvements  - 2025</t>
        </is>
      </c>
      <c r="E47" s="10" t="inlineStr">
        <is>
          <t>SUK-5982</t>
        </is>
      </c>
      <c r="F47" s="10" t="inlineStr">
        <is>
          <t>[EU-VOP] Incorrect display of greek character</t>
        </is>
      </c>
      <c r="G47" s="20" t="n">
        <v>17.6</v>
      </c>
    </row>
    <row r="48">
      <c r="A48" s="10" t="inlineStr">
        <is>
          <t>Team Horizon</t>
        </is>
      </c>
      <c r="B48" s="10" t="inlineStr">
        <is>
          <t>Ryan Shepherd</t>
        </is>
      </c>
      <c r="C48" s="10" t="inlineStr">
        <is>
          <t>SUK-5790</t>
        </is>
      </c>
      <c r="D48" s="10" t="inlineStr">
        <is>
          <t>SUK-5790 VOP Improvements  - 2025</t>
        </is>
      </c>
      <c r="E48" s="10" t="inlineStr">
        <is>
          <t>SUK-5963</t>
        </is>
      </c>
      <c r="F48" s="10" t="inlineStr">
        <is>
          <t>[vop-inbound-adapter] audit handling for inva</t>
        </is>
      </c>
      <c r="G48" s="20" t="n">
        <v>3.6</v>
      </c>
    </row>
    <row r="49">
      <c r="A49" s="10" t="inlineStr">
        <is>
          <t>Team Horizon</t>
        </is>
      </c>
      <c r="B49" s="10" t="inlineStr">
        <is>
          <t>Julian Mulder</t>
        </is>
      </c>
      <c r="C49" s="10" t="inlineStr">
        <is>
          <t>SUK-5790</t>
        </is>
      </c>
      <c r="D49" s="10" t="inlineStr">
        <is>
          <t>SUK-5790 VOP Improvements  - 2025</t>
        </is>
      </c>
      <c r="E49" s="10" t="inlineStr">
        <is>
          <t>SUK-5990</t>
        </is>
      </c>
      <c r="F49" s="10" t="inlineStr">
        <is>
          <t>Release Place holder for [EU-VOP] Disable/Upd</t>
        </is>
      </c>
      <c r="G49" s="20" t="n">
        <v>16</v>
      </c>
    </row>
    <row r="50">
      <c r="A50" s="10" t="inlineStr">
        <is>
          <t>Team Horizon</t>
        </is>
      </c>
      <c r="B50" s="10" t="inlineStr">
        <is>
          <t>veronica.hvaal</t>
        </is>
      </c>
      <c r="C50" s="10" t="inlineStr">
        <is>
          <t>SUK-5790</t>
        </is>
      </c>
      <c r="D50" s="10" t="inlineStr">
        <is>
          <t>SUK-5790 VOP Improvements  - 2025</t>
        </is>
      </c>
      <c r="E50" s="10" t="inlineStr">
        <is>
          <t>SUK-5905</t>
        </is>
      </c>
      <c r="F50" s="10" t="inlineStr">
        <is>
          <t>Downscale Admin Proxy</t>
        </is>
      </c>
      <c r="G50" s="20" t="n">
        <v>8</v>
      </c>
    </row>
    <row r="51">
      <c r="A51" s="10" t="inlineStr">
        <is>
          <t>Team Horizon</t>
        </is>
      </c>
      <c r="B51" s="10" t="inlineStr">
        <is>
          <t>Nikolay Antonov</t>
        </is>
      </c>
      <c r="C51" s="10" t="inlineStr">
        <is>
          <t>SUK-5790</t>
        </is>
      </c>
      <c r="D51" s="10" t="inlineStr">
        <is>
          <t>SUK-5790 VOP Improvements  - 2025</t>
        </is>
      </c>
      <c r="E51" s="10" t="inlineStr">
        <is>
          <t>SUK-5948</t>
        </is>
      </c>
      <c r="F51" s="10" t="inlineStr">
        <is>
          <t>[EU-VOP] Disable/Update kms key policy on vop</t>
        </is>
      </c>
      <c r="G51" s="20" t="n">
        <v>8</v>
      </c>
    </row>
    <row r="52">
      <c r="A52" s="10" t="inlineStr">
        <is>
          <t>Team Horizon</t>
        </is>
      </c>
      <c r="B52" s="10" t="inlineStr">
        <is>
          <t>Prabhukiran Narava</t>
        </is>
      </c>
      <c r="C52" s="10" t="inlineStr">
        <is>
          <t>SUK-5790</t>
        </is>
      </c>
      <c r="D52" s="10" t="inlineStr">
        <is>
          <t>SUK-5790 VOP Improvements  - 2025</t>
        </is>
      </c>
      <c r="E52" s="10" t="inlineStr">
        <is>
          <t>SUK-5935</t>
        </is>
      </c>
      <c r="F52" s="10" t="inlineStr">
        <is>
          <t>[EU-VOP] [Outbound] New error response header</t>
        </is>
      </c>
      <c r="G52" s="20" t="n">
        <v>2.6667</v>
      </c>
    </row>
    <row r="53">
      <c r="A53" s="10" t="inlineStr">
        <is>
          <t>Team Ikigai</t>
        </is>
      </c>
      <c r="B53" s="10" t="inlineStr">
        <is>
          <t>Tjibbe van Wier</t>
        </is>
      </c>
      <c r="C53" s="10" t="inlineStr">
        <is>
          <t>SPD-3368</t>
        </is>
      </c>
      <c r="D53" s="10" t="inlineStr">
        <is>
          <t>SPD-3368 VoP Bulk Checker v1.1</t>
        </is>
      </c>
      <c r="E53" s="10" t="inlineStr">
        <is>
          <t>SPD-3377</t>
        </is>
      </c>
      <c r="F53" s="10" t="inlineStr">
        <is>
          <t>Review Bulk updates in Dev Portal</t>
        </is>
      </c>
      <c r="G53" s="20" t="n">
        <v>184</v>
      </c>
    </row>
    <row r="54">
      <c r="A54" s="10" t="inlineStr">
        <is>
          <t>Team Ikigai</t>
        </is>
      </c>
      <c r="B54" s="10" t="inlineStr">
        <is>
          <t>borys.rudenko</t>
        </is>
      </c>
      <c r="C54" s="10" t="inlineStr">
        <is>
          <t>SDO-7745</t>
        </is>
      </c>
      <c r="D54" s="10" t="inlineStr">
        <is>
          <t>SDO-7745 UnstructuredRemittanceInformation</t>
        </is>
      </c>
      <c r="E54" s="10" t="inlineStr">
        <is>
          <t>SPD-3453</t>
        </is>
      </c>
      <c r="F54" s="10" t="inlineStr">
        <is>
          <t>OpenSearch Force merge improvement (Datahosti</t>
        </is>
      </c>
      <c r="G54" s="20" t="n">
        <v>64</v>
      </c>
    </row>
    <row r="55">
      <c r="A55" s="10" t="inlineStr">
        <is>
          <t>Team Ikigai</t>
        </is>
      </c>
      <c r="B55" s="10" t="inlineStr">
        <is>
          <t>borys.rudenko</t>
        </is>
      </c>
      <c r="C55" s="10" t="inlineStr">
        <is>
          <t>SDO-7745</t>
        </is>
      </c>
      <c r="D55" s="10" t="inlineStr">
        <is>
          <t>SDO-7745 UnstructuredRemittanceInformation</t>
        </is>
      </c>
      <c r="E55" s="10" t="inlineStr">
        <is>
          <t>SPD-3311</t>
        </is>
      </c>
      <c r="F55" s="10" t="inlineStr">
        <is>
          <t xml:space="preserve">Get URI solution to PRD </t>
        </is>
      </c>
      <c r="G55" s="20" t="n">
        <v>56</v>
      </c>
    </row>
    <row r="56">
      <c r="A56" s="10" t="inlineStr">
        <is>
          <t>Team Ikigai</t>
        </is>
      </c>
      <c r="B56" s="10" t="inlineStr">
        <is>
          <t>Gerard Veldman</t>
        </is>
      </c>
      <c r="C56" s="10" t="inlineStr">
        <is>
          <t>SPD-3236</t>
        </is>
      </c>
      <c r="D56" s="10" t="inlineStr">
        <is>
          <t>SPD-3236 VoP Bulk Checker performance improvement</t>
        </is>
      </c>
      <c r="E56" s="10" t="inlineStr">
        <is>
          <t>SPD-3256</t>
        </is>
      </c>
      <c r="F56" s="10" t="inlineStr">
        <is>
          <t>Support rate limiting</t>
        </is>
      </c>
      <c r="G56" s="20" t="n">
        <v>27.981</v>
      </c>
    </row>
    <row r="57">
      <c r="A57" s="10" t="inlineStr">
        <is>
          <t>Team Ikigai</t>
        </is>
      </c>
      <c r="B57" s="10" t="inlineStr">
        <is>
          <t>Gerard Veldman</t>
        </is>
      </c>
      <c r="C57" s="10" t="inlineStr">
        <is>
          <t>SPD-3341</t>
        </is>
      </c>
      <c r="D57" s="10" t="inlineStr">
        <is>
          <t>SPD-3341 VoP Data Hosting</t>
        </is>
      </c>
      <c r="E57" s="10" t="inlineStr">
        <is>
          <t>SPD-3448</t>
        </is>
      </c>
      <c r="F57" s="10" t="inlineStr">
        <is>
          <t>Fix flaky test in IngesterIntegrationTest (da</t>
        </is>
      </c>
      <c r="G57" s="20" t="n">
        <v>29.0476</v>
      </c>
    </row>
    <row r="58">
      <c r="A58" s="10" t="inlineStr">
        <is>
          <t>Team Ikigai</t>
        </is>
      </c>
      <c r="B58" s="10" t="inlineStr">
        <is>
          <t>Gerard Veldman</t>
        </is>
      </c>
      <c r="C58" s="10" t="inlineStr">
        <is>
          <t>SPD-3368</t>
        </is>
      </c>
      <c r="D58" s="10" t="inlineStr">
        <is>
          <t>SPD-3368 VoP Bulk Checker v1.1</t>
        </is>
      </c>
      <c r="E58" s="10" t="inlineStr">
        <is>
          <t>SPD-3449</t>
        </is>
      </c>
      <c r="F58" s="10" t="inlineStr">
        <is>
          <t>Fix bulk checker flaky tests</t>
        </is>
      </c>
      <c r="G58" s="20" t="n">
        <v>29.0476</v>
      </c>
    </row>
    <row r="59">
      <c r="A59" s="10" t="inlineStr">
        <is>
          <t>Team Ikigai</t>
        </is>
      </c>
      <c r="B59" s="10" t="inlineStr">
        <is>
          <t>Gerard Veldman</t>
        </is>
      </c>
      <c r="C59" s="10" t="inlineStr">
        <is>
          <t>SPD-3368</t>
        </is>
      </c>
      <c r="D59" s="10" t="inlineStr">
        <is>
          <t>SPD-3368 VoP Bulk Checker v1.1</t>
        </is>
      </c>
      <c r="E59" s="10" t="inlineStr">
        <is>
          <t>SPD-3369</t>
        </is>
      </c>
      <c r="F59" s="10" t="inlineStr">
        <is>
          <t>PAIN.002 Response file MVP implementation</t>
        </is>
      </c>
      <c r="G59" s="20" t="n">
        <v>9.428599999999999</v>
      </c>
    </row>
    <row r="60">
      <c r="A60" s="10" t="inlineStr">
        <is>
          <t>Team Ikigai</t>
        </is>
      </c>
      <c r="B60" s="10" t="inlineStr">
        <is>
          <t>Gerard Veldman</t>
        </is>
      </c>
      <c r="C60" s="10" t="inlineStr">
        <is>
          <t>SPD-3368</t>
        </is>
      </c>
      <c r="D60" s="10" t="inlineStr">
        <is>
          <t>SPD-3368 VoP Bulk Checker v1.1</t>
        </is>
      </c>
      <c r="E60" s="10" t="inlineStr">
        <is>
          <t>SPD-3461</t>
        </is>
      </c>
      <c r="F60" s="10" t="inlineStr">
        <is>
          <t>Align bulk api yaml 1.1.0 / 1.0.1</t>
        </is>
      </c>
      <c r="G60" s="20" t="n">
        <v>4</v>
      </c>
    </row>
    <row r="61">
      <c r="A61" s="10" t="inlineStr">
        <is>
          <t>Team Ikigai</t>
        </is>
      </c>
      <c r="B61" s="10" t="inlineStr">
        <is>
          <t>Gerard Veldman</t>
        </is>
      </c>
      <c r="C61" s="10" t="inlineStr">
        <is>
          <t>SPD-3368</t>
        </is>
      </c>
      <c r="D61" s="10" t="inlineStr">
        <is>
          <t>SPD-3368 VoP Bulk Checker v1.1</t>
        </is>
      </c>
      <c r="E61" s="10" t="inlineStr">
        <is>
          <t>SPD-3377</t>
        </is>
      </c>
      <c r="F61" s="10" t="inlineStr">
        <is>
          <t>Review Bulk updates in Dev Portal</t>
        </is>
      </c>
      <c r="G61" s="20" t="n">
        <v>2.9333</v>
      </c>
    </row>
    <row r="62">
      <c r="A62" s="10" t="inlineStr">
        <is>
          <t>Team Ikigai</t>
        </is>
      </c>
      <c r="B62" s="10" t="inlineStr">
        <is>
          <t>Gerard Veldman</t>
        </is>
      </c>
      <c r="C62" s="10" t="inlineStr">
        <is>
          <t>SPD-3368</t>
        </is>
      </c>
      <c r="D62" s="10" t="inlineStr">
        <is>
          <t>SPD-3368 VoP Bulk Checker v1.1</t>
        </is>
      </c>
      <c r="E62" s="10" t="inlineStr">
        <is>
          <t>SPD-3446</t>
        </is>
      </c>
      <c r="F62" s="10" t="inlineStr">
        <is>
          <t>Scale bulk checker for multi region</t>
        </is>
      </c>
      <c r="G62" s="20" t="n">
        <v>1.3333</v>
      </c>
    </row>
    <row r="63">
      <c r="A63" s="10" t="inlineStr">
        <is>
          <t>Team Ikigai</t>
        </is>
      </c>
      <c r="B63" s="10" t="inlineStr">
        <is>
          <t>Gerard Veldman</t>
        </is>
      </c>
      <c r="C63" s="10" t="inlineStr">
        <is>
          <t>SPD-3381</t>
        </is>
      </c>
      <c r="D63" s="10" t="inlineStr">
        <is>
          <t>SPD-3381 Multi Region</t>
        </is>
      </c>
      <c r="E63" s="10" t="inlineStr">
        <is>
          <t>SPD-3465</t>
        </is>
      </c>
      <c r="F63" s="10" t="inlineStr">
        <is>
          <t>[VoP Bulk Checker] Fix multi region architect</t>
        </is>
      </c>
      <c r="G63" s="20" t="n">
        <v>4.2857</v>
      </c>
    </row>
    <row r="64">
      <c r="A64" s="10" t="inlineStr">
        <is>
          <t>Team Ikigai</t>
        </is>
      </c>
      <c r="B64" s="10" t="inlineStr">
        <is>
          <t>Keerthi Shankar</t>
        </is>
      </c>
      <c r="C64" s="10" t="inlineStr">
        <is>
          <t>SPD-1732</t>
        </is>
      </c>
      <c r="D64" s="10" t="inlineStr">
        <is>
          <t>SPD-1732 Corporate Bulk Checker</t>
        </is>
      </c>
      <c r="E64" s="10" t="inlineStr">
        <is>
          <t>SPD-3479</t>
        </is>
      </c>
      <c r="F64" s="10" t="inlineStr">
        <is>
          <t>SRD Issue in Corporate Bulky</t>
        </is>
      </c>
      <c r="G64" s="20" t="n">
        <v>14.6667</v>
      </c>
    </row>
    <row r="65">
      <c r="A65" s="10" t="inlineStr">
        <is>
          <t>Team Ikigai</t>
        </is>
      </c>
      <c r="B65" s="10" t="inlineStr">
        <is>
          <t>Keerthi Shankar</t>
        </is>
      </c>
      <c r="C65" s="10" t="inlineStr">
        <is>
          <t>SPD-1732</t>
        </is>
      </c>
      <c r="D65" s="10" t="inlineStr">
        <is>
          <t>SPD-1732 Corporate Bulk Checker</t>
        </is>
      </c>
      <c r="E65" s="10" t="inlineStr">
        <is>
          <t>SPD-2986</t>
        </is>
      </c>
      <c r="F65" s="10" t="inlineStr">
        <is>
          <t>Fix NexusIQ vulnerabilities in java-bulk-chec</t>
        </is>
      </c>
      <c r="G65" s="20" t="n">
        <v>6.6667</v>
      </c>
    </row>
    <row r="66">
      <c r="A66" s="10" t="inlineStr">
        <is>
          <t>Team Ikigai</t>
        </is>
      </c>
      <c r="B66" s="10" t="inlineStr">
        <is>
          <t>Keerthi Shankar</t>
        </is>
      </c>
      <c r="C66" s="10" t="inlineStr">
        <is>
          <t>SPD-3341</t>
        </is>
      </c>
      <c r="D66" s="10" t="inlineStr">
        <is>
          <t>SPD-3341 VoP Data Hosting</t>
        </is>
      </c>
      <c r="E66" s="10" t="inlineStr">
        <is>
          <t>SPD-3477</t>
        </is>
      </c>
      <c r="F66" s="10" t="inlineStr">
        <is>
          <t>Send alerts for datahosting missing uploads b</t>
        </is>
      </c>
      <c r="G66" s="20" t="n">
        <v>48</v>
      </c>
    </row>
    <row r="67">
      <c r="A67" s="10" t="inlineStr">
        <is>
          <t>Team Ikigai</t>
        </is>
      </c>
      <c r="B67" s="10" t="inlineStr">
        <is>
          <t>Keerthi Shankar</t>
        </is>
      </c>
      <c r="C67" s="10" t="inlineStr">
        <is>
          <t>SPD-3381</t>
        </is>
      </c>
      <c r="D67" s="10" t="inlineStr">
        <is>
          <t>SPD-3381 Multi Region</t>
        </is>
      </c>
      <c r="E67" s="10" t="inlineStr">
        <is>
          <t>SPD-3471</t>
        </is>
      </c>
      <c r="F67" s="10" t="inlineStr">
        <is>
          <t>[VoP Bulk Checker] Create bidirectional s3 bu</t>
        </is>
      </c>
      <c r="G67" s="20" t="n">
        <v>18.6667</v>
      </c>
    </row>
    <row r="68">
      <c r="A68" s="10" t="inlineStr">
        <is>
          <t>Team Ikigai</t>
        </is>
      </c>
      <c r="B68" s="10" t="inlineStr">
        <is>
          <t>Diego Silva</t>
        </is>
      </c>
      <c r="C68" s="10" t="inlineStr">
        <is>
          <t>SPD-2749</t>
        </is>
      </c>
      <c r="D68" s="10" t="inlineStr">
        <is>
          <t>SPD-2749 VoP Data Hosting Ingester v1</t>
        </is>
      </c>
      <c r="E68" s="10" t="inlineStr">
        <is>
          <t>SPD-2828</t>
        </is>
      </c>
      <c r="F68" s="10" t="inlineStr">
        <is>
          <t xml:space="preserve">ECS Cluster Documentation </t>
        </is>
      </c>
      <c r="G68" s="20" t="n">
        <v>48</v>
      </c>
    </row>
    <row r="69">
      <c r="A69" s="10" t="inlineStr">
        <is>
          <t>Team Ikigai</t>
        </is>
      </c>
      <c r="B69" s="10" t="inlineStr">
        <is>
          <t>Juanma Tastzian</t>
        </is>
      </c>
      <c r="C69" s="10" t="inlineStr">
        <is>
          <t>SDO-7526</t>
        </is>
      </c>
      <c r="D69" s="10" t="inlineStr">
        <is>
          <t>SDO-7526 VOP Algorithm Improvements</t>
        </is>
      </c>
      <c r="E69" s="10" t="inlineStr">
        <is>
          <t>SPD-3436</t>
        </is>
      </c>
      <c r="F69" s="10" t="inlineStr">
        <is>
          <t>A044 Herr Mann Mystery follow up</t>
        </is>
      </c>
      <c r="G69" s="20" t="n">
        <v>28</v>
      </c>
    </row>
    <row r="70">
      <c r="A70" s="10" t="inlineStr">
        <is>
          <t>Team Ikigai</t>
        </is>
      </c>
      <c r="B70" s="10" t="inlineStr">
        <is>
          <t>Chaitanya Sagi</t>
        </is>
      </c>
      <c r="C70" s="10" t="inlineStr">
        <is>
          <t>SPD-3368</t>
        </is>
      </c>
      <c r="D70" s="10" t="inlineStr">
        <is>
          <t>SPD-3368 VoP Bulk Checker v1.1</t>
        </is>
      </c>
      <c r="E70" s="10" t="inlineStr">
        <is>
          <t>SPD-3463</t>
        </is>
      </c>
      <c r="F70" s="10" t="inlineStr">
        <is>
          <t xml:space="preserve">Document the steps for updating the VoP Bulk </t>
        </is>
      </c>
      <c r="G70" s="20" t="n">
        <v>16</v>
      </c>
    </row>
    <row r="71">
      <c r="A71" s="10" t="inlineStr">
        <is>
          <t>Team Samba</t>
        </is>
      </c>
      <c r="B71" s="10" t="inlineStr">
        <is>
          <t>Ioannis Argyroulis</t>
        </is>
      </c>
      <c r="C71" s="10" t="inlineStr">
        <is>
          <t>SDO-8067</t>
        </is>
      </c>
      <c r="D71" s="10" t="inlineStr">
        <is>
          <t>SDO-8067 Swift outbound v3</t>
        </is>
      </c>
      <c r="E71" s="10" t="inlineStr">
        <is>
          <t>SDO-7551</t>
        </is>
      </c>
      <c r="F71" s="10" t="inlineStr">
        <is>
          <t>[Swift Preval Service] Begin to upgrade to v3</t>
        </is>
      </c>
      <c r="G71" s="20" t="n">
        <v>100</v>
      </c>
    </row>
    <row r="72">
      <c r="A72" s="10" t="inlineStr">
        <is>
          <t>Team Samba</t>
        </is>
      </c>
      <c r="B72" s="10" t="inlineStr">
        <is>
          <t>Ioannis Argyroulis</t>
        </is>
      </c>
      <c r="C72" s="10" t="inlineStr">
        <is>
          <t>SDO-8067</t>
        </is>
      </c>
      <c r="D72" s="10" t="inlineStr">
        <is>
          <t>SDO-8067 Swift outbound v3</t>
        </is>
      </c>
      <c r="E72" s="10" t="inlineStr">
        <is>
          <t>SDO-8044</t>
        </is>
      </c>
      <c r="F72" s="10" t="inlineStr">
        <is>
          <t>[Swift Preval Service] Improve error response</t>
        </is>
      </c>
      <c r="G72" s="20" t="n">
        <v>56</v>
      </c>
    </row>
    <row r="73">
      <c r="A73" s="10" t="inlineStr">
        <is>
          <t>Team Samba</t>
        </is>
      </c>
      <c r="B73" s="10" t="inlineStr">
        <is>
          <t>Sheik Farzand Razi</t>
        </is>
      </c>
      <c r="C73" s="10" t="inlineStr">
        <is>
          <t>SDO-7680</t>
        </is>
      </c>
      <c r="D73" s="10" t="inlineStr">
        <is>
          <t>SDO-7680 Multi region</t>
        </is>
      </c>
      <c r="E73" s="10" t="inlineStr">
        <is>
          <t>SDO-8002</t>
        </is>
      </c>
      <c r="F73" s="10" t="inlineStr">
        <is>
          <t>Dataprovisioning - make bank endpoints dns mu</t>
        </is>
      </c>
      <c r="G73" s="20" t="n">
        <v>2.6667</v>
      </c>
    </row>
    <row r="74">
      <c r="A74" s="10" t="inlineStr">
        <is>
          <t>Team Samba</t>
        </is>
      </c>
      <c r="B74" s="10" t="inlineStr">
        <is>
          <t>Sheik Farzand Razi</t>
        </is>
      </c>
      <c r="C74" s="10" t="inlineStr">
        <is>
          <t>SDO-7680</t>
        </is>
      </c>
      <c r="D74" s="10" t="inlineStr">
        <is>
          <t>SDO-7680 Multi region</t>
        </is>
      </c>
      <c r="E74" s="10" t="inlineStr">
        <is>
          <t>SDO-8034</t>
        </is>
      </c>
      <c r="F74" s="10" t="inlineStr">
        <is>
          <t>2.0 Switchover to PRD multi-region for data p</t>
        </is>
      </c>
      <c r="G74" s="20" t="n">
        <v>2</v>
      </c>
    </row>
    <row r="75">
      <c r="A75" s="10" t="inlineStr">
        <is>
          <t>Team Samba</t>
        </is>
      </c>
      <c r="B75" s="10" t="inlineStr">
        <is>
          <t>Sheik Farzand Razi</t>
        </is>
      </c>
      <c r="C75" s="10" t="inlineStr">
        <is>
          <t>SDO-7680</t>
        </is>
      </c>
      <c r="D75" s="10" t="inlineStr">
        <is>
          <t>SDO-7680 Multi region</t>
        </is>
      </c>
      <c r="E75" s="10" t="inlineStr">
        <is>
          <t>SDO-8035</t>
        </is>
      </c>
      <c r="F75" s="10" t="inlineStr">
        <is>
          <t>1.1 Replicate Secrets manager from West to Ce</t>
        </is>
      </c>
      <c r="G75" s="20" t="n">
        <v>2</v>
      </c>
    </row>
    <row r="76">
      <c r="A76" s="10" t="inlineStr">
        <is>
          <t>Team Samba</t>
        </is>
      </c>
      <c r="B76" s="10" t="inlineStr">
        <is>
          <t>Sheik Farzand Razi</t>
        </is>
      </c>
      <c r="C76" s="10" t="inlineStr">
        <is>
          <t>SDO-7680</t>
        </is>
      </c>
      <c r="D76" s="10" t="inlineStr">
        <is>
          <t>SDO-7680 Multi region</t>
        </is>
      </c>
      <c r="E76" s="10" t="inlineStr">
        <is>
          <t>SDO-8036</t>
        </is>
      </c>
      <c r="F76" s="10" t="inlineStr">
        <is>
          <t>1.2 Replicate SSM from West to Central</t>
        </is>
      </c>
      <c r="G76" s="20" t="n">
        <v>2</v>
      </c>
    </row>
    <row r="77">
      <c r="A77" s="10" t="inlineStr">
        <is>
          <t>Team Samba</t>
        </is>
      </c>
      <c r="B77" s="10" t="inlineStr">
        <is>
          <t>Sheik Farzand Razi</t>
        </is>
      </c>
      <c r="C77" s="10" t="inlineStr">
        <is>
          <t>SDO-7680</t>
        </is>
      </c>
      <c r="D77" s="10" t="inlineStr">
        <is>
          <t>SDO-7680 Multi region</t>
        </is>
      </c>
      <c r="E77" s="10" t="inlineStr">
        <is>
          <t>SDO-8037</t>
        </is>
      </c>
      <c r="F77" s="10" t="inlineStr">
        <is>
          <t xml:space="preserve">1.3 Deploy traefik outbound configuration in </t>
        </is>
      </c>
      <c r="G77" s="20" t="n">
        <v>2</v>
      </c>
    </row>
    <row r="78">
      <c r="A78" s="10" t="inlineStr">
        <is>
          <t>Team Samba</t>
        </is>
      </c>
      <c r="B78" s="10" t="inlineStr">
        <is>
          <t>Sheik Farzand Razi</t>
        </is>
      </c>
      <c r="C78" s="10" t="inlineStr">
        <is>
          <t>SDO-7982</t>
        </is>
      </c>
      <c r="D78" s="10" t="inlineStr">
        <is>
          <t>SDO-7982 Samba Observability</t>
        </is>
      </c>
      <c r="E78" s="10" t="inlineStr">
        <is>
          <t>SDO-7981</t>
        </is>
      </c>
      <c r="F78" s="10" t="inlineStr">
        <is>
          <t>[Observability] create a pipeline for the met</t>
        </is>
      </c>
      <c r="G78" s="20" t="n">
        <v>5.3333</v>
      </c>
    </row>
    <row r="79">
      <c r="A79" s="10" t="inlineStr">
        <is>
          <t>Team Samba</t>
        </is>
      </c>
      <c r="B79" s="10" t="inlineStr">
        <is>
          <t>Sheik Farzand Razi</t>
        </is>
      </c>
      <c r="C79" s="10" t="inlineStr">
        <is>
          <t>SDO-8067</t>
        </is>
      </c>
      <c r="D79" s="10" t="inlineStr">
        <is>
          <t>SDO-8067 Swift outbound v3</t>
        </is>
      </c>
      <c r="E79" s="10" t="inlineStr">
        <is>
          <t>SDO-7965</t>
        </is>
      </c>
      <c r="F79" s="10" t="inlineStr">
        <is>
          <t>[Swift Preval Service] Devops tickets</t>
        </is>
      </c>
      <c r="G79" s="20" t="n">
        <v>28</v>
      </c>
    </row>
    <row r="80">
      <c r="A80" s="10" t="inlineStr">
        <is>
          <t>Team Samba</t>
        </is>
      </c>
      <c r="B80" s="10" t="inlineStr">
        <is>
          <t>Mark Whitworth</t>
        </is>
      </c>
      <c r="C80" s="10" t="inlineStr">
        <is>
          <t>SDO-8067</t>
        </is>
      </c>
      <c r="D80" s="10" t="inlineStr">
        <is>
          <t>SDO-8067 Swift outbound v3</t>
        </is>
      </c>
      <c r="E80" s="10" t="inlineStr">
        <is>
          <t>SDO-8025</t>
        </is>
      </c>
      <c r="F80" s="10" t="inlineStr">
        <is>
          <t>[Swift Inbound] Get authorisation for the TSP</t>
        </is>
      </c>
      <c r="G80" s="20" t="n">
        <v>40</v>
      </c>
    </row>
    <row r="81">
      <c r="A81" s="10" t="inlineStr">
        <is>
          <t>Team Samba</t>
        </is>
      </c>
      <c r="B81" s="10" t="inlineStr">
        <is>
          <t>Muhammad Sulaiman</t>
        </is>
      </c>
      <c r="C81" s="10" t="inlineStr">
        <is>
          <t>SDO-5021</t>
        </is>
      </c>
      <c r="D81" s="10" t="inlineStr">
        <is>
          <t xml:space="preserve">SDO-5021 Service Improvements </t>
        </is>
      </c>
      <c r="E81" s="10" t="inlineStr">
        <is>
          <t>SDO-7478</t>
        </is>
      </c>
      <c r="F81" s="10" t="inlineStr">
        <is>
          <t xml:space="preserve">[Automation] monitoring for certs created by </t>
        </is>
      </c>
      <c r="G81" s="20" t="n">
        <v>26</v>
      </c>
    </row>
    <row r="82">
      <c r="A82" s="10" t="inlineStr">
        <is>
          <t>Team Samba</t>
        </is>
      </c>
      <c r="B82" s="10" t="inlineStr">
        <is>
          <t>Muhammad Sulaiman</t>
        </is>
      </c>
      <c r="C82" s="10" t="inlineStr">
        <is>
          <t>SDO-7680</t>
        </is>
      </c>
      <c r="D82" s="10" t="inlineStr">
        <is>
          <t>SDO-7680 Multi region</t>
        </is>
      </c>
      <c r="E82" s="10" t="inlineStr">
        <is>
          <t>SDO-8020</t>
        </is>
      </c>
      <c r="F82" s="10" t="inlineStr">
        <is>
          <t>Wiremock Multi-Region</t>
        </is>
      </c>
      <c r="G82" s="20" t="n">
        <v>4.6667</v>
      </c>
    </row>
    <row r="83">
      <c r="A83" s="10" t="inlineStr">
        <is>
          <t>Team Samba</t>
        </is>
      </c>
      <c r="B83" s="10" t="inlineStr">
        <is>
          <t>Muhammad Sulaiman</t>
        </is>
      </c>
      <c r="C83" s="10" t="inlineStr">
        <is>
          <t>SDO-7680</t>
        </is>
      </c>
      <c r="D83" s="10" t="inlineStr">
        <is>
          <t>SDO-7680 Multi region</t>
        </is>
      </c>
      <c r="E83" s="10" t="inlineStr">
        <is>
          <t>SDO-8003</t>
        </is>
      </c>
      <c r="F83" s="10" t="inlineStr">
        <is>
          <t>dataprovisioning wiremocks made multi region</t>
        </is>
      </c>
      <c r="G83" s="20" t="n">
        <v>2.6667</v>
      </c>
    </row>
    <row r="84">
      <c r="A84" s="10" t="inlineStr">
        <is>
          <t>Team Samba</t>
        </is>
      </c>
      <c r="B84" s="10" t="inlineStr">
        <is>
          <t>Orwa Badran</t>
        </is>
      </c>
      <c r="C84" s="10" t="inlineStr">
        <is>
          <t>SDO-6876</t>
        </is>
      </c>
      <c r="D84" s="10" t="inlineStr">
        <is>
          <t>SDO-6876 VoP Gateway solution</t>
        </is>
      </c>
      <c r="E84" s="10" t="inlineStr">
        <is>
          <t>SDO-8013</t>
        </is>
      </c>
      <c r="F84" s="10" t="inlineStr">
        <is>
          <t>Update VOP Gateway swagger for latest fixes 4</t>
        </is>
      </c>
      <c r="G84" s="20" t="n">
        <v>8</v>
      </c>
    </row>
    <row r="85">
      <c r="A85" s="10" t="inlineStr">
        <is>
          <t>Team Samba</t>
        </is>
      </c>
      <c r="B85" s="10" t="inlineStr">
        <is>
          <t>Orwa Badran</t>
        </is>
      </c>
      <c r="C85" s="10" t="inlineStr">
        <is>
          <t>SDO-7634</t>
        </is>
      </c>
      <c r="D85" s="10" t="inlineStr">
        <is>
          <t>SDO-7634 BIC Enrichment</t>
        </is>
      </c>
      <c r="E85" s="10" t="inlineStr">
        <is>
          <t>SDO-7984</t>
        </is>
      </c>
      <c r="F85" s="10" t="inlineStr">
        <is>
          <t>Refactor BIC fetching to introduce Manual dat</t>
        </is>
      </c>
      <c r="G85" s="20" t="n">
        <v>10.6667</v>
      </c>
    </row>
    <row r="86">
      <c r="A86" s="10" t="inlineStr">
        <is>
          <t>Team Samba</t>
        </is>
      </c>
      <c r="B86" s="10" t="inlineStr">
        <is>
          <t>Orwa Badran</t>
        </is>
      </c>
      <c r="C86" s="10" t="inlineStr">
        <is>
          <t>SDO-7982</t>
        </is>
      </c>
      <c r="D86" s="10" t="inlineStr">
        <is>
          <t>SDO-7982 Samba Observability</t>
        </is>
      </c>
      <c r="E86" s="10" t="inlineStr">
        <is>
          <t>SDO-7967</t>
        </is>
      </c>
      <c r="F86" s="10" t="inlineStr">
        <is>
          <t>[Observability] Build metrics utility</t>
        </is>
      </c>
      <c r="G86" s="20" t="n">
        <v>10.6667</v>
      </c>
    </row>
    <row r="87">
      <c r="A87" s="10" t="inlineStr">
        <is>
          <t>Team Samba</t>
        </is>
      </c>
      <c r="B87" s="10" t="inlineStr">
        <is>
          <t>Ismail Kuyu</t>
        </is>
      </c>
      <c r="C87" s="10" t="inlineStr">
        <is>
          <t>SDO-5021</t>
        </is>
      </c>
      <c r="D87" s="10" t="inlineStr">
        <is>
          <t xml:space="preserve">SDO-5021 Service Improvements </t>
        </is>
      </c>
      <c r="E87" s="10" t="inlineStr">
        <is>
          <t>SDO-7190</t>
        </is>
      </c>
      <c r="F87" s="10" t="inlineStr">
        <is>
          <t>[Ext Reach Raw] Should not write data of onbo</t>
        </is>
      </c>
      <c r="G87" s="20" t="n">
        <v>4.8</v>
      </c>
    </row>
    <row r="88">
      <c r="A88" s="10" t="inlineStr">
        <is>
          <t>Team Samba</t>
        </is>
      </c>
      <c r="B88" s="10" t="inlineStr">
        <is>
          <t>Ismail Kuyu</t>
        </is>
      </c>
      <c r="C88" s="10" t="inlineStr">
        <is>
          <t>SDO-7982</t>
        </is>
      </c>
      <c r="D88" s="10" t="inlineStr">
        <is>
          <t>SDO-7982 Samba Observability</t>
        </is>
      </c>
      <c r="E88" s="10" t="inlineStr">
        <is>
          <t>SDO-7966</t>
        </is>
      </c>
      <c r="F88" s="10" t="inlineStr">
        <is>
          <t>[Observability] Create alerts on all our endp</t>
        </is>
      </c>
      <c r="G88" s="20" t="n">
        <v>4</v>
      </c>
    </row>
    <row r="89">
      <c r="A89" s="10" t="inlineStr">
        <is>
          <t>YODA</t>
        </is>
      </c>
      <c r="B89" s="10" t="inlineStr">
        <is>
          <t>Shrikant Patil</t>
        </is>
      </c>
      <c r="C89" s="10" t="inlineStr">
        <is>
          <t>YODA-1656</t>
        </is>
      </c>
      <c r="D89" s="10" t="inlineStr">
        <is>
          <t>YODA-1656 [Audit] Cross cluster search</t>
        </is>
      </c>
      <c r="E89" s="10" t="inlineStr">
        <is>
          <t>YODA-1835</t>
        </is>
      </c>
      <c r="F89" s="10" t="inlineStr">
        <is>
          <t>Setup Coordinator Cluster for TST</t>
        </is>
      </c>
      <c r="G89" s="20" t="n">
        <v>25.6</v>
      </c>
    </row>
    <row r="90">
      <c r="A90" s="10" t="inlineStr">
        <is>
          <t>YODA</t>
        </is>
      </c>
      <c r="B90" s="10" t="inlineStr">
        <is>
          <t>Shrikant Patil</t>
        </is>
      </c>
      <c r="C90" s="10" t="inlineStr">
        <is>
          <t>YODA-1672</t>
        </is>
      </c>
      <c r="D90" s="10" t="inlineStr">
        <is>
          <t>YODA-1672 Multi Region by Yoda</t>
        </is>
      </c>
      <c r="E90" s="10" t="inlineStr">
        <is>
          <t>YODA-1733</t>
        </is>
      </c>
      <c r="F90" s="10" t="inlineStr">
        <is>
          <t>[FCA] Multi region</t>
        </is>
      </c>
      <c r="G90" s="20" t="n">
        <v>31.7558</v>
      </c>
    </row>
    <row r="91">
      <c r="A91" s="10" t="inlineStr">
        <is>
          <t>YODA</t>
        </is>
      </c>
      <c r="B91" s="10" t="inlineStr">
        <is>
          <t>Shrikant Patil</t>
        </is>
      </c>
      <c r="C91" s="10" t="inlineStr">
        <is>
          <t>YODA-1672</t>
        </is>
      </c>
      <c r="D91" s="10" t="inlineStr">
        <is>
          <t>YODA-1672 Multi Region by Yoda</t>
        </is>
      </c>
      <c r="E91" s="10" t="inlineStr">
        <is>
          <t>YODA-1735</t>
        </is>
      </c>
      <c r="F91" s="10" t="inlineStr">
        <is>
          <t>[CVS] Multi region</t>
        </is>
      </c>
      <c r="G91" s="20" t="n">
        <v>31.7558</v>
      </c>
    </row>
    <row r="92">
      <c r="A92" s="10" t="inlineStr">
        <is>
          <t>YODA</t>
        </is>
      </c>
      <c r="B92" s="10" t="inlineStr">
        <is>
          <t>Shrikant Patil</t>
        </is>
      </c>
      <c r="C92" s="10" t="inlineStr">
        <is>
          <t>YODA-1672</t>
        </is>
      </c>
      <c r="D92" s="10" t="inlineStr">
        <is>
          <t>YODA-1672 Multi Region by Yoda</t>
        </is>
      </c>
      <c r="E92" s="10" t="inlineStr">
        <is>
          <t>YODA-1790</t>
        </is>
      </c>
      <c r="F92" s="10" t="inlineStr">
        <is>
          <t>[platform-eu-cross-border-adapters] Multi reg</t>
        </is>
      </c>
      <c r="G92" s="20" t="n">
        <v>31.7558</v>
      </c>
    </row>
    <row r="93">
      <c r="A93" s="10" t="inlineStr">
        <is>
          <t>YODA</t>
        </is>
      </c>
      <c r="B93" s="10" t="inlineStr">
        <is>
          <t>Shrikant Patil</t>
        </is>
      </c>
      <c r="C93" s="10" t="inlineStr">
        <is>
          <t>YODA-1672</t>
        </is>
      </c>
      <c r="D93" s="10" t="inlineStr">
        <is>
          <t>YODA-1672 Multi Region by Yoda</t>
        </is>
      </c>
      <c r="E93" s="10" t="inlineStr">
        <is>
          <t>YODA-1791</t>
        </is>
      </c>
      <c r="F93" s="10" t="inlineStr">
        <is>
          <t>Jenkins pipeline - platform-eu-cross-border-a</t>
        </is>
      </c>
      <c r="G93" s="20" t="n">
        <v>31.7558</v>
      </c>
    </row>
    <row r="94">
      <c r="A94" s="10" t="inlineStr">
        <is>
          <t>YODA</t>
        </is>
      </c>
      <c r="B94" s="10" t="inlineStr">
        <is>
          <t>Shrikant Patil</t>
        </is>
      </c>
      <c r="C94" s="10" t="inlineStr">
        <is>
          <t>YODA-1672</t>
        </is>
      </c>
      <c r="D94" s="10" t="inlineStr">
        <is>
          <t>YODA-1672 Multi Region by Yoda</t>
        </is>
      </c>
      <c r="E94" s="10" t="inlineStr">
        <is>
          <t>YODA-1739</t>
        </is>
      </c>
      <c r="F94" s="10" t="inlineStr">
        <is>
          <t>Update Jenkins pipeline - FCA multi-region</t>
        </is>
      </c>
      <c r="G94" s="20" t="n">
        <v>12.1558</v>
      </c>
    </row>
    <row r="95">
      <c r="A95" s="10" t="inlineStr">
        <is>
          <t>YODA</t>
        </is>
      </c>
      <c r="B95" s="10" t="inlineStr">
        <is>
          <t>Shrikant Patil</t>
        </is>
      </c>
      <c r="C95" s="10" t="inlineStr">
        <is>
          <t>YODA-1672</t>
        </is>
      </c>
      <c r="D95" s="10" t="inlineStr">
        <is>
          <t>YODA-1672 Multi Region by Yoda</t>
        </is>
      </c>
      <c r="E95" s="10" t="inlineStr">
        <is>
          <t>YODA-1741</t>
        </is>
      </c>
      <c r="F95" s="10" t="inlineStr">
        <is>
          <t>Infra - FCA multi-region</t>
        </is>
      </c>
      <c r="G95" s="20" t="n">
        <v>12.1558</v>
      </c>
    </row>
    <row r="96">
      <c r="A96" s="10" t="inlineStr">
        <is>
          <t>YODA</t>
        </is>
      </c>
      <c r="B96" s="10" t="inlineStr">
        <is>
          <t>Shrikant Patil</t>
        </is>
      </c>
      <c r="C96" s="10" t="inlineStr">
        <is>
          <t>YODA-1672</t>
        </is>
      </c>
      <c r="D96" s="10" t="inlineStr">
        <is>
          <t>YODA-1672 Multi Region by Yoda</t>
        </is>
      </c>
      <c r="E96" s="10" t="inlineStr">
        <is>
          <t>YODA-1793</t>
        </is>
      </c>
      <c r="F96" s="10" t="inlineStr">
        <is>
          <t>Infra - platform-eu-cross-border-adapters mul</t>
        </is>
      </c>
      <c r="G96" s="20" t="n">
        <v>12.1558</v>
      </c>
    </row>
    <row r="97">
      <c r="A97" s="10" t="inlineStr">
        <is>
          <t>YODA</t>
        </is>
      </c>
      <c r="B97" s="10" t="inlineStr">
        <is>
          <t>Shrikant Patil</t>
        </is>
      </c>
      <c r="C97" s="10" t="inlineStr">
        <is>
          <t>YODA-1672</t>
        </is>
      </c>
      <c r="D97" s="10" t="inlineStr">
        <is>
          <t>YODA-1672 Multi Region by Yoda</t>
        </is>
      </c>
      <c r="E97" s="10" t="inlineStr">
        <is>
          <t>YODA-1749</t>
        </is>
      </c>
      <c r="F97" s="10" t="inlineStr">
        <is>
          <t>Create new cluster in Central - [CVS] Multi r</t>
        </is>
      </c>
      <c r="G97" s="20" t="n">
        <v>0.7272999999999999</v>
      </c>
    </row>
    <row r="98">
      <c r="A98" s="10" t="inlineStr">
        <is>
          <t>YODA</t>
        </is>
      </c>
      <c r="B98" s="10" t="inlineStr">
        <is>
          <t>Shrikant Patil</t>
        </is>
      </c>
      <c r="C98" s="10" t="inlineStr">
        <is>
          <t>YODA-1672</t>
        </is>
      </c>
      <c r="D98" s="10" t="inlineStr">
        <is>
          <t>YODA-1672 Multi Region by Yoda</t>
        </is>
      </c>
      <c r="E98" s="10" t="inlineStr">
        <is>
          <t>YODA-1753</t>
        </is>
      </c>
      <c r="F98" s="10" t="inlineStr">
        <is>
          <t>Update Jenkins pipeline - [CVS] Multi region</t>
        </is>
      </c>
      <c r="G98" s="20" t="n">
        <v>0.7272999999999999</v>
      </c>
    </row>
    <row r="99">
      <c r="A99" s="10" t="inlineStr">
        <is>
          <t>YODA</t>
        </is>
      </c>
      <c r="B99" s="10" t="inlineStr">
        <is>
          <t>Shrikant Patil</t>
        </is>
      </c>
      <c r="C99" s="10" t="inlineStr">
        <is>
          <t>YODA-1672</t>
        </is>
      </c>
      <c r="D99" s="10" t="inlineStr">
        <is>
          <t>YODA-1672 Multi Region by Yoda</t>
        </is>
      </c>
      <c r="E99" s="10" t="inlineStr">
        <is>
          <t>YODA-1755</t>
        </is>
      </c>
      <c r="F99" s="10" t="inlineStr">
        <is>
          <t>Infra - [CVS] Multi region</t>
        </is>
      </c>
      <c r="G99" s="20" t="n">
        <v>0.7272999999999999</v>
      </c>
    </row>
    <row r="100">
      <c r="A100" s="10" t="inlineStr">
        <is>
          <t>YODA</t>
        </is>
      </c>
      <c r="B100" s="10" t="inlineStr">
        <is>
          <t>Richard Oliver</t>
        </is>
      </c>
      <c r="C100" s="10" t="inlineStr">
        <is>
          <t>YODA-1656</t>
        </is>
      </c>
      <c r="D100" s="10" t="inlineStr">
        <is>
          <t>YODA-1656 [Audit] Cross cluster search</t>
        </is>
      </c>
      <c r="E100" s="10" t="inlineStr">
        <is>
          <t>YODA-1805</t>
        </is>
      </c>
      <c r="F100" s="10" t="inlineStr">
        <is>
          <t>Prove that roles restrict access in cross clu</t>
        </is>
      </c>
      <c r="G100" s="20" t="n">
        <v>50.6667</v>
      </c>
    </row>
    <row r="101">
      <c r="A101" s="10" t="inlineStr">
        <is>
          <t>YODA</t>
        </is>
      </c>
      <c r="B101" s="10" t="inlineStr">
        <is>
          <t>Richard Oliver</t>
        </is>
      </c>
      <c r="C101" s="10" t="inlineStr">
        <is>
          <t>YODA-1672</t>
        </is>
      </c>
      <c r="D101" s="10" t="inlineStr">
        <is>
          <t>YODA-1672 Multi Region by Yoda</t>
        </is>
      </c>
      <c r="E101" s="10" t="inlineStr">
        <is>
          <t>YODA-1754</t>
        </is>
      </c>
      <c r="F101" s="10" t="inlineStr">
        <is>
          <t>Nexus vulnerability upgrades and fixes - [CVS</t>
        </is>
      </c>
      <c r="G101" s="20" t="n">
        <v>62.6667</v>
      </c>
    </row>
    <row r="102">
      <c r="A102" s="10" t="inlineStr">
        <is>
          <t>YODA</t>
        </is>
      </c>
      <c r="B102" s="10" t="inlineStr">
        <is>
          <t>Richard Oliver</t>
        </is>
      </c>
      <c r="C102" s="10" t="inlineStr">
        <is>
          <t>YODA-1672</t>
        </is>
      </c>
      <c r="D102" s="10" t="inlineStr">
        <is>
          <t>YODA-1672 Multi Region by Yoda</t>
        </is>
      </c>
      <c r="E102" s="10" t="inlineStr">
        <is>
          <t>YODA-1831</t>
        </is>
      </c>
      <c r="F102" s="10" t="inlineStr">
        <is>
          <t>Double check SSM parameters</t>
        </is>
      </c>
      <c r="G102" s="20" t="n">
        <v>6.6667</v>
      </c>
    </row>
    <row r="103">
      <c r="A103" s="10" t="inlineStr">
        <is>
          <t>YODA</t>
        </is>
      </c>
      <c r="B103" s="10" t="inlineStr">
        <is>
          <t>Parth Mewada</t>
        </is>
      </c>
      <c r="C103" s="10" t="inlineStr">
        <is>
          <t>YODA-1672</t>
        </is>
      </c>
      <c r="D103" s="10" t="inlineStr">
        <is>
          <t>YODA-1672 Multi Region by Yoda</t>
        </is>
      </c>
      <c r="E103" s="10" t="inlineStr">
        <is>
          <t>YODA-1736</t>
        </is>
      </c>
      <c r="F103" s="10" t="inlineStr">
        <is>
          <t>[UK Adapter] Multi region</t>
        </is>
      </c>
      <c r="G103" s="20" t="n">
        <v>25.7778</v>
      </c>
    </row>
    <row r="104">
      <c r="A104" s="10" t="inlineStr">
        <is>
          <t>YODA</t>
        </is>
      </c>
      <c r="B104" s="10" t="inlineStr">
        <is>
          <t>Parth Mewada</t>
        </is>
      </c>
      <c r="C104" s="10" t="inlineStr">
        <is>
          <t>YODA-1672</t>
        </is>
      </c>
      <c r="D104" s="10" t="inlineStr">
        <is>
          <t>YODA-1672 Multi Region by Yoda</t>
        </is>
      </c>
      <c r="E104" s="10" t="inlineStr">
        <is>
          <t>YODA-1734</t>
        </is>
      </c>
      <c r="F104" s="10" t="inlineStr">
        <is>
          <t>[CBI outbound] Multi region</t>
        </is>
      </c>
      <c r="G104" s="20" t="n">
        <v>9.777799999999999</v>
      </c>
    </row>
    <row r="105">
      <c r="A105" s="10" t="inlineStr">
        <is>
          <t>YODA</t>
        </is>
      </c>
      <c r="B105" s="10" t="inlineStr">
        <is>
          <t>Parth Mewada</t>
        </is>
      </c>
      <c r="C105" s="10" t="inlineStr">
        <is>
          <t>YODA-1672</t>
        </is>
      </c>
      <c r="D105" s="10" t="inlineStr">
        <is>
          <t>YODA-1672 Multi Region by Yoda</t>
        </is>
      </c>
      <c r="E105" s="10" t="inlineStr">
        <is>
          <t>YODA-1737</t>
        </is>
      </c>
      <c r="F105" s="10" t="inlineStr">
        <is>
          <t>[OPA VOP] Multi region</t>
        </is>
      </c>
      <c r="G105" s="20" t="n">
        <v>9.777799999999999</v>
      </c>
    </row>
    <row r="106">
      <c r="A106" s="10" t="inlineStr">
        <is>
          <t>YODA</t>
        </is>
      </c>
      <c r="B106" s="10" t="inlineStr">
        <is>
          <t>Parth Mewada</t>
        </is>
      </c>
      <c r="C106" s="10" t="inlineStr">
        <is>
          <t>YODA-1672</t>
        </is>
      </c>
      <c r="D106" s="10" t="inlineStr">
        <is>
          <t>YODA-1672 Multi Region by Yoda</t>
        </is>
      </c>
      <c r="E106" s="10" t="inlineStr">
        <is>
          <t>YODA-1750</t>
        </is>
      </c>
      <c r="F106" s="10" t="inlineStr">
        <is>
          <t>Update Jenkins pipeline</t>
        </is>
      </c>
      <c r="G106" s="20" t="n">
        <v>9.777799999999999</v>
      </c>
    </row>
    <row r="107">
      <c r="A107" s="10" t="inlineStr">
        <is>
          <t>YODA</t>
        </is>
      </c>
      <c r="B107" s="10" t="inlineStr">
        <is>
          <t>Parth Mewada</t>
        </is>
      </c>
      <c r="C107" s="10" t="inlineStr">
        <is>
          <t>YODA-1672</t>
        </is>
      </c>
      <c r="D107" s="10" t="inlineStr">
        <is>
          <t>YODA-1672 Multi Region by Yoda</t>
        </is>
      </c>
      <c r="E107" s="10" t="inlineStr">
        <is>
          <t>YODA-1752</t>
        </is>
      </c>
      <c r="F107" s="10" t="inlineStr">
        <is>
          <t>Infra</t>
        </is>
      </c>
      <c r="G107" s="20" t="n">
        <v>9.777799999999999</v>
      </c>
    </row>
    <row r="108">
      <c r="A108" s="10" t="inlineStr">
        <is>
          <t>YODA</t>
        </is>
      </c>
      <c r="B108" s="10" t="inlineStr">
        <is>
          <t>Parth Mewada</t>
        </is>
      </c>
      <c r="C108" s="10" t="inlineStr">
        <is>
          <t>YODA-1672</t>
        </is>
      </c>
      <c r="D108" s="10" t="inlineStr">
        <is>
          <t>YODA-1672 Multi Region by Yoda</t>
        </is>
      </c>
      <c r="E108" s="10" t="inlineStr">
        <is>
          <t>YODA-1756</t>
        </is>
      </c>
      <c r="F108" s="10" t="inlineStr">
        <is>
          <t>Update Jenkins pipeline</t>
        </is>
      </c>
      <c r="G108" s="20" t="n">
        <v>9.777799999999999</v>
      </c>
    </row>
    <row r="109">
      <c r="A109" s="10" t="inlineStr">
        <is>
          <t>YODA</t>
        </is>
      </c>
      <c r="B109" s="10" t="inlineStr">
        <is>
          <t>Parth Mewada</t>
        </is>
      </c>
      <c r="C109" s="10" t="inlineStr">
        <is>
          <t>YODA-1672</t>
        </is>
      </c>
      <c r="D109" s="10" t="inlineStr">
        <is>
          <t>YODA-1672 Multi Region by Yoda</t>
        </is>
      </c>
      <c r="E109" s="10" t="inlineStr">
        <is>
          <t>YODA-1758</t>
        </is>
      </c>
      <c r="F109" s="10" t="inlineStr">
        <is>
          <t>Infra</t>
        </is>
      </c>
      <c r="G109" s="20" t="n">
        <v>9.777799999999999</v>
      </c>
    </row>
    <row r="110">
      <c r="A110" s="10" t="inlineStr">
        <is>
          <t>YODA</t>
        </is>
      </c>
      <c r="B110" s="10" t="inlineStr">
        <is>
          <t>Parth Mewada</t>
        </is>
      </c>
      <c r="C110" s="10" t="inlineStr">
        <is>
          <t>YODA-1672</t>
        </is>
      </c>
      <c r="D110" s="10" t="inlineStr">
        <is>
          <t>YODA-1672 Multi Region by Yoda</t>
        </is>
      </c>
      <c r="E110" s="10" t="inlineStr">
        <is>
          <t>YODA-1759</t>
        </is>
      </c>
      <c r="F110" s="10" t="inlineStr">
        <is>
          <t>Update Jenkins pipeline</t>
        </is>
      </c>
      <c r="G110" s="20" t="n">
        <v>9.777799999999999</v>
      </c>
    </row>
    <row r="111">
      <c r="A111" s="10" t="inlineStr">
        <is>
          <t>YODA</t>
        </is>
      </c>
      <c r="B111" s="10" t="inlineStr">
        <is>
          <t>Parth Mewada</t>
        </is>
      </c>
      <c r="C111" s="10" t="inlineStr">
        <is>
          <t>YODA-1672</t>
        </is>
      </c>
      <c r="D111" s="10" t="inlineStr">
        <is>
          <t>YODA-1672 Multi Region by Yoda</t>
        </is>
      </c>
      <c r="E111" s="10" t="inlineStr">
        <is>
          <t>YODA-1761</t>
        </is>
      </c>
      <c r="F111" s="10" t="inlineStr">
        <is>
          <t>Infra</t>
        </is>
      </c>
      <c r="G111" s="20" t="n">
        <v>9.777799999999999</v>
      </c>
    </row>
    <row r="112">
      <c r="A112" s="10" t="inlineStr">
        <is>
          <t>YODA</t>
        </is>
      </c>
      <c r="B112" s="10" t="inlineStr">
        <is>
          <t>Ramseshu Ghanta</t>
        </is>
      </c>
      <c r="C112" s="10" t="inlineStr">
        <is>
          <t>YODA-1429</t>
        </is>
      </c>
      <c r="D112" s="10" t="inlineStr">
        <is>
          <t>YODA-1429 [Audit] Backup strategy</t>
        </is>
      </c>
      <c r="E112" s="10" t="inlineStr">
        <is>
          <t>YODA-1526</t>
        </is>
      </c>
      <c r="F112" s="10" t="inlineStr">
        <is>
          <t xml:space="preserve">[SecReview] Set retention policy for backups </t>
        </is>
      </c>
      <c r="G112" s="20" t="n">
        <v>44.9333</v>
      </c>
    </row>
    <row r="113">
      <c r="A113" s="10" t="inlineStr">
        <is>
          <t>YODA</t>
        </is>
      </c>
      <c r="B113" s="10" t="inlineStr">
        <is>
          <t>Ramseshu Ghanta</t>
        </is>
      </c>
      <c r="C113" s="10" t="inlineStr">
        <is>
          <t>YODA-1672</t>
        </is>
      </c>
      <c r="D113" s="10" t="inlineStr">
        <is>
          <t>YODA-1672 Multi Region by Yoda</t>
        </is>
      </c>
      <c r="E113" s="10" t="inlineStr">
        <is>
          <t>YODA-1751</t>
        </is>
      </c>
      <c r="F113" s="10" t="inlineStr">
        <is>
          <t>Nexus vulnerability upgrades and fixes</t>
        </is>
      </c>
      <c r="G113" s="20" t="n">
        <v>17.6</v>
      </c>
    </row>
    <row r="114">
      <c r="A114" s="10" t="inlineStr">
        <is>
          <t>YODA</t>
        </is>
      </c>
      <c r="B114" s="10" t="inlineStr">
        <is>
          <t>Ramseshu Ghanta</t>
        </is>
      </c>
      <c r="C114" s="10" t="inlineStr">
        <is>
          <t>YODA-1672</t>
        </is>
      </c>
      <c r="D114" s="10" t="inlineStr">
        <is>
          <t>YODA-1672 Multi Region by Yoda</t>
        </is>
      </c>
      <c r="E114" s="10" t="inlineStr">
        <is>
          <t>YODA-1757</t>
        </is>
      </c>
      <c r="F114" s="10" t="inlineStr">
        <is>
          <t>Nexus vulnerability upgrades and fixes</t>
        </is>
      </c>
      <c r="G114" s="20" t="n">
        <v>17.6</v>
      </c>
    </row>
    <row r="115">
      <c r="A115" s="10" t="inlineStr">
        <is>
          <t>YODA</t>
        </is>
      </c>
      <c r="B115" s="10" t="inlineStr">
        <is>
          <t>Ramseshu Ghanta</t>
        </is>
      </c>
      <c r="C115" s="10" t="inlineStr">
        <is>
          <t>YODA-1672</t>
        </is>
      </c>
      <c r="D115" s="10" t="inlineStr">
        <is>
          <t>YODA-1672 Multi Region by Yoda</t>
        </is>
      </c>
      <c r="E115" s="10" t="inlineStr">
        <is>
          <t>YODA-1760</t>
        </is>
      </c>
      <c r="F115" s="10" t="inlineStr">
        <is>
          <t>Nexus vulnerability upgrades and fixes</t>
        </is>
      </c>
      <c r="G115" s="20" t="n">
        <v>17.6</v>
      </c>
    </row>
    <row r="116">
      <c r="A116" s="10" t="inlineStr">
        <is>
          <t>YODA</t>
        </is>
      </c>
      <c r="B116" s="10" t="inlineStr">
        <is>
          <t>Mitali Patil</t>
        </is>
      </c>
      <c r="C116" s="10" t="inlineStr">
        <is>
          <t>YODA-1672</t>
        </is>
      </c>
      <c r="D116" s="10" t="inlineStr">
        <is>
          <t>YODA-1672 Multi Region by Yoda</t>
        </is>
      </c>
      <c r="E116" s="10" t="inlineStr">
        <is>
          <t>YODA-1740</t>
        </is>
      </c>
      <c r="F116" s="10" t="inlineStr">
        <is>
          <t>Nexus vulnerability upgrades and fixes</t>
        </is>
      </c>
      <c r="G116" s="20" t="n">
        <v>88</v>
      </c>
    </row>
    <row r="118">
      <c r="F118" s="3" t="inlineStr">
        <is>
          <t>TOTAL</t>
        </is>
      </c>
      <c r="G118" s="15">
        <f>SUM(G4:G116)</f>
        <v/>
      </c>
    </row>
  </sheetData>
  <autoFilter ref="A3:G1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Pastel de Portal Team</t>
        </is>
      </c>
      <c r="B4" s="10" t="inlineStr">
        <is>
          <t>PT-459</t>
        </is>
      </c>
      <c r="C4" s="10" t="inlineStr">
        <is>
          <t>Absent from the mapping CSV entirely</t>
        </is>
      </c>
      <c r="D4" s="10" t="inlineStr">
        <is>
          <t>PT-510</t>
        </is>
      </c>
      <c r="E4" s="10" t="inlineStr">
        <is>
          <t>Treated as non-WBSO. Add a row to the CSV if it should count.</t>
        </is>
      </c>
    </row>
    <row r="5">
      <c r="A5" s="10" t="inlineStr">
        <is>
          <t>Pastel de Portal Team</t>
        </is>
      </c>
      <c r="B5" s="10" t="inlineStr">
        <is>
          <t>PT-489</t>
        </is>
      </c>
      <c r="C5" s="10" t="inlineStr">
        <is>
          <t>Absent from the mapping CSV entirely</t>
        </is>
      </c>
      <c r="D5" s="10" t="inlineStr">
        <is>
          <t>PT-501</t>
        </is>
      </c>
      <c r="E5" s="10" t="inlineStr">
        <is>
          <t>Treated as non-WBSO. Add a row to the CSV if it should count.</t>
        </is>
      </c>
    </row>
    <row r="6">
      <c r="A6" s="10" t="inlineStr">
        <is>
          <t>Pastel de Portal Team</t>
        </is>
      </c>
      <c r="B6" s="10" t="inlineStr">
        <is>
          <t>PT-491</t>
        </is>
      </c>
      <c r="C6" s="10" t="inlineStr">
        <is>
          <t>Absent from the mapping CSV entirely</t>
        </is>
      </c>
      <c r="D6" s="10" t="inlineStr">
        <is>
          <t>PT-345</t>
        </is>
      </c>
      <c r="E6" s="10" t="inlineStr">
        <is>
          <t>Treated as non-WBSO. Add a row to the CSV if it should count.</t>
        </is>
      </c>
    </row>
    <row r="7">
      <c r="A7" s="10" t="inlineStr">
        <is>
          <t>Pastel de Portal Team</t>
        </is>
      </c>
      <c r="B7" s="10" t="inlineStr">
        <is>
          <t>PT-520</t>
        </is>
      </c>
      <c r="C7" s="10" t="inlineStr">
        <is>
          <t>Absent from the mapping CSV entirely</t>
        </is>
      </c>
      <c r="D7" s="10" t="inlineStr">
        <is>
          <t>PT-565</t>
        </is>
      </c>
      <c r="E7" s="10" t="inlineStr">
        <is>
          <t>Treated as non-WBSO. Add a row to the CSV if it should count.</t>
        </is>
      </c>
    </row>
    <row r="8">
      <c r="A8" s="10" t="inlineStr">
        <is>
          <t>Pastel de Portal Team</t>
        </is>
      </c>
      <c r="B8" s="10" t="inlineStr">
        <is>
          <t>PT-590</t>
        </is>
      </c>
      <c r="C8" s="10" t="inlineStr">
        <is>
          <t>Absent from the mapping CSV entirely</t>
        </is>
      </c>
      <c r="D8" s="10" t="inlineStr">
        <is>
          <t>PT-418</t>
        </is>
      </c>
      <c r="E8" s="10" t="inlineStr">
        <is>
          <t>Treated as non-WBSO. Add a row to the CSV if it should count.</t>
        </is>
      </c>
    </row>
    <row r="9">
      <c r="A9" s="10" t="inlineStr">
        <is>
          <t>Pastel de Portal Team</t>
        </is>
      </c>
      <c r="B9" s="10" t="inlineStr">
        <is>
          <t>PT-602</t>
        </is>
      </c>
      <c r="C9" s="10" t="inlineStr">
        <is>
          <t>Absent from the mapping CSV entirely</t>
        </is>
      </c>
      <c r="D9" s="10" t="inlineStr">
        <is>
          <t>PT-542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Horizon</t>
        </is>
      </c>
      <c r="B10" s="10" t="inlineStr">
        <is>
          <t>SUK-1438</t>
        </is>
      </c>
      <c r="C10" s="10" t="inlineStr">
        <is>
          <t>Absent from the mapping CSV entirely</t>
        </is>
      </c>
      <c r="D10" s="10" t="inlineStr">
        <is>
          <t>SUK-1557</t>
        </is>
      </c>
      <c r="E10" s="10" t="inlineStr">
        <is>
          <t>Treated as non-WBSO. Add a row to the CSV if it should count.</t>
        </is>
      </c>
    </row>
    <row r="11">
      <c r="A11" s="10" t="inlineStr">
        <is>
          <t>Team Horizon</t>
        </is>
      </c>
      <c r="B11" s="10" t="inlineStr">
        <is>
          <t>SUK-2339</t>
        </is>
      </c>
      <c r="C11" s="10" t="inlineStr">
        <is>
          <t>Absent from the mapping CSV entirely</t>
        </is>
      </c>
      <c r="D11" s="10" t="inlineStr">
        <is>
          <t>SUK-3511</t>
        </is>
      </c>
      <c r="E11" s="10" t="inlineStr">
        <is>
          <t>Treated as non-WBSO. Add a row to the CSV if it should count.</t>
        </is>
      </c>
    </row>
    <row r="12">
      <c r="A12" s="10" t="inlineStr">
        <is>
          <t>Team Horizon</t>
        </is>
      </c>
      <c r="B12" s="10" t="inlineStr">
        <is>
          <t>SUK-4741</t>
        </is>
      </c>
      <c r="C12" s="10" t="inlineStr">
        <is>
          <t>Absent from the mapping CSV entirely</t>
        </is>
      </c>
      <c r="D12" s="10" t="inlineStr">
        <is>
          <t>SUK-4751</t>
        </is>
      </c>
      <c r="E12" s="10" t="inlineStr">
        <is>
          <t>Treated as non-WBSO. Add a row to the CSV if it should count.</t>
        </is>
      </c>
    </row>
    <row r="13">
      <c r="A13" s="10" t="inlineStr">
        <is>
          <t>Team Horizon</t>
        </is>
      </c>
      <c r="B13" s="10" t="inlineStr">
        <is>
          <t>SUK-6070</t>
        </is>
      </c>
      <c r="C13" s="10" t="inlineStr">
        <is>
          <t>Absent from the mapping CSV entirely</t>
        </is>
      </c>
      <c r="D13" s="10" t="inlineStr">
        <is>
          <t>SUK-5929</t>
        </is>
      </c>
      <c r="E13" s="10" t="inlineStr">
        <is>
          <t>Treated as non-WBSO. Add a row to the CSV if it should count.</t>
        </is>
      </c>
    </row>
    <row r="14">
      <c r="A14" s="10" t="inlineStr">
        <is>
          <t>Team Horizon</t>
        </is>
      </c>
      <c r="B14" s="10" t="inlineStr">
        <is>
          <t>SUK-6076</t>
        </is>
      </c>
      <c r="C14" s="10" t="inlineStr">
        <is>
          <t>Absent from the mapping CSV entirely</t>
        </is>
      </c>
      <c r="D14" s="10" t="inlineStr">
        <is>
          <t>SUK-5097</t>
        </is>
      </c>
      <c r="E14" s="10" t="inlineStr">
        <is>
          <t>Treated as non-WBSO. Add a row to the CSV if it should count.</t>
        </is>
      </c>
    </row>
    <row r="15">
      <c r="A15" s="10" t="inlineStr">
        <is>
          <t>Team Ikigai</t>
        </is>
      </c>
      <c r="B15" s="10" t="inlineStr">
        <is>
          <t>SPD-3452</t>
        </is>
      </c>
      <c r="C15" s="10" t="inlineStr">
        <is>
          <t>Absent from the mapping CSV entirely</t>
        </is>
      </c>
      <c r="D15" s="10" t="inlineStr">
        <is>
          <t>SPD-3183</t>
        </is>
      </c>
      <c r="E15" s="10" t="inlineStr">
        <is>
          <t>Treated as non-WBSO. Add a row to the CSV if it should count.</t>
        </is>
      </c>
    </row>
    <row r="16">
      <c r="A16" s="10" t="inlineStr">
        <is>
          <t>Team Ikigai</t>
        </is>
      </c>
      <c r="B16" s="10" t="inlineStr">
        <is>
          <t>SPD-3478</t>
        </is>
      </c>
      <c r="C16" s="10" t="inlineStr">
        <is>
          <t>Absent from the mapping CSV entirely</t>
        </is>
      </c>
      <c r="D16" s="10" t="inlineStr">
        <is>
          <t>SPD-3290</t>
        </is>
      </c>
      <c r="E16" s="10" t="inlineStr">
        <is>
          <t>Treated as non-WBSO. Add a row to the CSV if it should count.</t>
        </is>
      </c>
    </row>
    <row r="17">
      <c r="A17" s="10" t="inlineStr">
        <is>
          <t>Team Samba</t>
        </is>
      </c>
      <c r="B17" s="10" t="inlineStr">
        <is>
          <t>SDO-8016</t>
        </is>
      </c>
      <c r="C17" s="10" t="inlineStr">
        <is>
          <t>Absent from the mapping CSV entirely</t>
        </is>
      </c>
      <c r="D17" s="10" t="inlineStr">
        <is>
          <t>SDO-8015</t>
        </is>
      </c>
      <c r="E17" s="10" t="inlineStr">
        <is>
          <t>Treated as non-WBSO. Add a row to the CSV if it should count.</t>
        </is>
      </c>
    </row>
    <row r="18">
      <c r="A18" s="10" t="inlineStr">
        <is>
          <t>Team Samba</t>
        </is>
      </c>
      <c r="B18" s="10" t="inlineStr">
        <is>
          <t>SDO-8170</t>
        </is>
      </c>
      <c r="C18" s="10" t="inlineStr">
        <is>
          <t>Absent from the mapping CSV entirely</t>
        </is>
      </c>
      <c r="D18" s="10" t="inlineStr">
        <is>
          <t>SDO-7265</t>
        </is>
      </c>
      <c r="E18" s="10" t="inlineStr">
        <is>
          <t>Treated as non-WBSO. Add a row to the CSV if it should count.</t>
        </is>
      </c>
    </row>
    <row r="19">
      <c r="A19" s="10" t="inlineStr">
        <is>
          <t>Team Samba</t>
        </is>
      </c>
      <c r="B19" s="10" t="inlineStr">
        <is>
          <t>SDO-8305</t>
        </is>
      </c>
      <c r="C19" s="10" t="inlineStr">
        <is>
          <t>Absent from the mapping CSV entirely</t>
        </is>
      </c>
      <c r="D19" s="10" t="inlineStr">
        <is>
          <t>SDO-5668</t>
        </is>
      </c>
      <c r="E19" s="10" t="inlineStr">
        <is>
          <t>Treated as non-WBSO. Add a row to the CSV if it should count.</t>
        </is>
      </c>
    </row>
    <row r="20">
      <c r="A20" s="10" t="inlineStr">
        <is>
          <t>YODA</t>
        </is>
      </c>
      <c r="B20" s="10" t="inlineStr">
        <is>
          <t>YODA-1794</t>
        </is>
      </c>
      <c r="C20" s="10" t="inlineStr">
        <is>
          <t>Absent from the mapping CSV entirely</t>
        </is>
      </c>
      <c r="D20" s="10" t="inlineStr">
        <is>
          <t>YODA-1841</t>
        </is>
      </c>
      <c r="E20" s="10" t="inlineStr">
        <is>
          <t>Treated as non-WBSO. Add a row to the CSV if it should count.</t>
        </is>
      </c>
    </row>
    <row r="21">
      <c r="A21" s="10" t="inlineStr">
        <is>
          <t>YODA</t>
        </is>
      </c>
      <c r="B21" s="10" t="inlineStr">
        <is>
          <t>YODA-1819</t>
        </is>
      </c>
      <c r="C21" s="10" t="inlineStr">
        <is>
          <t>Absent from the mapping CSV entirely</t>
        </is>
      </c>
      <c r="D21" s="10" t="inlineStr">
        <is>
          <t>YODA-1833</t>
        </is>
      </c>
      <c r="E21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2026-08-21T18:06:54Z</dcterms:created>
  <dcterms:modified xsi:type="dcterms:W3CDTF">2026-08-21T18:06:54Z</dcterms:modified>
</cp:coreProperties>
</file>
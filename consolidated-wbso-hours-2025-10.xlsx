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  <sheet name="Pastel de Portal Team" sheetId="3" state="visible" r:id="rId3"/>
    <sheet name="Platform Team 6" sheetId="4" state="visible" r:id="rId4"/>
    <sheet name="Team Horizon" sheetId="5" state="visible" r:id="rId5"/>
    <sheet name="Team Ikigai" sheetId="6" state="visible" r:id="rId6"/>
    <sheet name="Team Samba" sheetId="7" state="visible" r:id="rId7"/>
    <sheet name="YODA" sheetId="8" state="visible" r:id="rId8"/>
    <sheet name="Detail" sheetId="9" state="visible" r:id="rId9"/>
    <sheet name="Diagnostics" sheetId="10" state="visible" r:id="rId10"/>
  </sheets>
  <definedNames>
    <definedName name="_xlnm._FilterDatabase" localSheetId="1" hidden="1">'Summary'!$A$4:$J$10</definedName>
    <definedName name="_xlnm._FilterDatabase" localSheetId="8" hidden="1">'Detail'!$A$3:$G$180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Consolidated WBSO Hours — run parameters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5">
      <c r="A5" s="3" t="inlineStr">
        <is>
          <t>Hours per engineer per day</t>
        </is>
      </c>
      <c r="B5" s="4" t="n">
        <v>8</v>
      </c>
    </row>
    <row r="6">
      <c r="A6" s="3" t="inlineStr">
        <is>
          <t>Reporting month</t>
        </is>
      </c>
      <c r="B6" s="5" t="inlineStr">
        <is>
          <t>2025-10</t>
        </is>
      </c>
    </row>
    <row r="7">
      <c r="A7" s="3" t="inlineStr">
        <is>
          <t>Teams in scope</t>
        </is>
      </c>
      <c r="B7" s="5" t="n">
        <v>6</v>
      </c>
    </row>
    <row r="8">
      <c r="A8" s="3" t="inlineStr">
        <is>
          <t>Teams with WBSO hours</t>
        </is>
      </c>
      <c r="B8" s="5" t="n">
        <v>6</v>
      </c>
    </row>
    <row r="9">
      <c r="A9" s="3" t="inlineStr">
        <is>
          <t>Epic filter</t>
        </is>
      </c>
      <c r="B9" s="5" t="inlineStr">
        <is>
          <t>WBSO epics flagged for each team</t>
        </is>
      </c>
    </row>
    <row r="10">
      <c r="A10" s="3" t="inlineStr">
        <is>
          <t>Mapping CSV</t>
        </is>
      </c>
      <c r="B10" s="5" t="inlineStr">
        <is>
          <t>epics-mapping.csv</t>
        </is>
      </c>
    </row>
    <row r="11">
      <c r="A11" s="3" t="inlineStr">
        <is>
          <t>Generated by</t>
        </is>
      </c>
      <c r="B11" s="5" t="inlineStr">
        <is>
          <t>engineering-metrics / consolidated-wbso-hours</t>
        </is>
      </c>
    </row>
    <row r="13">
      <c r="A13" s="6" t="inlineStr">
        <is>
          <t>Method</t>
        </is>
      </c>
    </row>
    <row r="14" ht="28" customHeight="1">
      <c r="A14" s="7" t="inlineStr">
        <is>
          <t>• A weekday on which an engineer held a ticket while it was In Progress makes that ticket active for them that day.</t>
        </is>
      </c>
    </row>
    <row r="15" ht="28" customHeight="1">
      <c r="A15" s="7" t="inlineStr">
        <is>
          <t>• Each engineer-day is worth at most the hours-per-day figure above, split equally across every ticket active that day.</t>
        </is>
      </c>
    </row>
    <row r="16" ht="28" customHeight="1">
      <c r="A16" s="7" t="inlineStr">
        <is>
          <t>• The split denominator is ALL tickets held that day, including non-WBSO ones. Filtering to WBSO removes rows but never inflates the hours remaining — important for a subsidy claim.</t>
        </is>
      </c>
    </row>
    <row r="17" ht="28" customHeight="1">
      <c r="A17" s="7" t="inlineStr">
        <is>
          <t>• An engineer working for two teams in the month is counted under each, so team capacity figures do not sum to a person-month.</t>
        </is>
      </c>
    </row>
    <row r="18" ht="28" customHeight="1">
      <c r="A18" s="7" t="inlineStr">
        <is>
          <t>• Weekends are excluded. Public holidays are NOT excluded.</t>
        </is>
      </c>
    </row>
    <row r="19" ht="28" customHeight="1">
      <c r="A19" s="7" t="inlineStr">
        <is>
          <t>• Hours on the Detail sheet are computed by the tool from the Jira changelog; they are inputs here, not sheet-derived. Every total above them is a formula.</t>
        </is>
      </c>
    </row>
  </sheetData>
  <mergeCells count="6">
    <mergeCell ref="A16:B16"/>
    <mergeCell ref="A15:B15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1" customWidth="1" min="4" max="4"/>
    <col width="11" customWidth="1" min="5" max="5"/>
    <col width="13" customWidth="1" min="6" max="6"/>
    <col width="16" customWidth="1" min="7" max="7"/>
    <col width="15" customWidth="1" min="8" max="8"/>
    <col width="12" customWidth="1" min="9" max="9"/>
    <col width="34" customWidth="1" min="10" max="10"/>
  </cols>
  <sheetData>
    <row r="1">
      <c r="A1" s="1" t="inlineStr">
        <is>
          <t>WBSO hours per team</t>
        </is>
      </c>
    </row>
    <row r="2">
      <c r="A2" s="8" t="inlineStr">
        <is>
          <t>Hours are SUMIFS over Detail. Capacity = active engineer-days x hours-per-day (Assumptions!B5).</t>
        </is>
      </c>
    </row>
    <row r="4">
      <c r="A4" s="9" t="inlineStr">
        <is>
          <t>Team</t>
        </is>
      </c>
      <c r="B4" s="9" t="inlineStr">
        <is>
          <t>Jira key</t>
        </is>
      </c>
      <c r="C4" s="9" t="inlineStr">
        <is>
          <t>Sheet</t>
        </is>
      </c>
      <c r="D4" s="9" t="inlineStr">
        <is>
          <t>Engineers</t>
        </is>
      </c>
      <c r="E4" s="9" t="inlineStr">
        <is>
          <t>WBSO epics</t>
        </is>
      </c>
      <c r="F4" s="9" t="inlineStr">
        <is>
          <t>WBSO hours</t>
        </is>
      </c>
      <c r="G4" s="9" t="inlineStr">
        <is>
          <t>Active eng-days</t>
        </is>
      </c>
      <c r="H4" s="9" t="inlineStr">
        <is>
          <t>Capacity hours</t>
        </is>
      </c>
      <c r="I4" s="9" t="inlineStr">
        <is>
          <t>WBSO share</t>
        </is>
      </c>
      <c r="J4" s="9" t="inlineStr">
        <is>
          <t>Status</t>
        </is>
      </c>
    </row>
    <row r="5">
      <c r="A5" s="10" t="inlineStr">
        <is>
          <t>Pastel de Portal Team</t>
        </is>
      </c>
      <c r="B5" s="10" t="inlineStr">
        <is>
          <t>PT</t>
        </is>
      </c>
      <c r="C5" s="10" t="inlineStr">
        <is>
          <t>Pastel de Portal Team</t>
        </is>
      </c>
      <c r="D5" s="11" t="n">
        <v>8</v>
      </c>
      <c r="E5" s="11" t="n">
        <v>6</v>
      </c>
      <c r="F5" s="12">
        <f>SUMIFS(Detail!$G$4:$G$180,Detail!$A$4:$A$180,$A5)</f>
        <v/>
      </c>
      <c r="G5" s="11" t="n">
        <v>158</v>
      </c>
      <c r="H5" s="12">
        <f>$G5*Assumptions!$B$5</f>
        <v/>
      </c>
      <c r="I5" s="13">
        <f>IFERROR($F5/$H5,0)</f>
        <v/>
      </c>
      <c r="J5" s="10" t="inlineStr">
        <is>
          <t>83.2h across 8 engineer(s)</t>
        </is>
      </c>
    </row>
    <row r="6">
      <c r="A6" s="10" t="inlineStr">
        <is>
          <t>Platform Team 6</t>
        </is>
      </c>
      <c r="B6" s="10" t="inlineStr">
        <is>
          <t>PT6</t>
        </is>
      </c>
      <c r="C6" s="10" t="inlineStr">
        <is>
          <t>Platform Team 6</t>
        </is>
      </c>
      <c r="D6" s="11" t="n">
        <v>5</v>
      </c>
      <c r="E6" s="11" t="n">
        <v>5</v>
      </c>
      <c r="F6" s="12">
        <f>SUMIFS(Detail!$G$4:$G$180,Detail!$A$4:$A$180,$A6)</f>
        <v/>
      </c>
      <c r="G6" s="11" t="n">
        <v>109</v>
      </c>
      <c r="H6" s="12">
        <f>$G6*Assumptions!$B$5</f>
        <v/>
      </c>
      <c r="I6" s="13">
        <f>IFERROR($F6/$H6,0)</f>
        <v/>
      </c>
      <c r="J6" s="10" t="inlineStr">
        <is>
          <t>410.3h across 5 engineer(s)</t>
        </is>
      </c>
    </row>
    <row r="7">
      <c r="A7" s="10" t="inlineStr">
        <is>
          <t>Team Horizon</t>
        </is>
      </c>
      <c r="B7" s="10" t="inlineStr">
        <is>
          <t>SUK</t>
        </is>
      </c>
      <c r="C7" s="10" t="inlineStr">
        <is>
          <t>Team Horizon</t>
        </is>
      </c>
      <c r="D7" s="11" t="n">
        <v>11</v>
      </c>
      <c r="E7" s="11" t="n">
        <v>13</v>
      </c>
      <c r="F7" s="12">
        <f>SUMIFS(Detail!$G$4:$G$180,Detail!$A$4:$A$180,$A7)</f>
        <v/>
      </c>
      <c r="G7" s="11" t="n">
        <v>241</v>
      </c>
      <c r="H7" s="12">
        <f>$G7*Assumptions!$B$5</f>
        <v/>
      </c>
      <c r="I7" s="13">
        <f>IFERROR($F7/$H7,0)</f>
        <v/>
      </c>
      <c r="J7" s="10" t="inlineStr">
        <is>
          <t>714.3h across 11 engineer(s)</t>
        </is>
      </c>
    </row>
    <row r="8">
      <c r="A8" s="10" t="inlineStr">
        <is>
          <t>Team Ikigai</t>
        </is>
      </c>
      <c r="B8" s="10" t="inlineStr">
        <is>
          <t>SPD</t>
        </is>
      </c>
      <c r="C8" s="10" t="inlineStr">
        <is>
          <t>Team Ikigai</t>
        </is>
      </c>
      <c r="D8" s="11" t="n">
        <v>9</v>
      </c>
      <c r="E8" s="11" t="n">
        <v>25</v>
      </c>
      <c r="F8" s="12">
        <f>SUMIFS(Detail!$G$4:$G$180,Detail!$A$4:$A$180,$A8)</f>
        <v/>
      </c>
      <c r="G8" s="11" t="n">
        <v>165</v>
      </c>
      <c r="H8" s="12">
        <f>$G8*Assumptions!$B$5</f>
        <v/>
      </c>
      <c r="I8" s="13">
        <f>IFERROR($F8/$H8,0)</f>
        <v/>
      </c>
      <c r="J8" s="10" t="inlineStr">
        <is>
          <t>969.8h across 9 engineer(s)</t>
        </is>
      </c>
    </row>
    <row r="9">
      <c r="A9" s="10" t="inlineStr">
        <is>
          <t>Team Samba</t>
        </is>
      </c>
      <c r="B9" s="10" t="inlineStr">
        <is>
          <t>SDO</t>
        </is>
      </c>
      <c r="C9" s="10" t="inlineStr">
        <is>
          <t>Team Samba</t>
        </is>
      </c>
      <c r="D9" s="11" t="n">
        <v>7</v>
      </c>
      <c r="E9" s="11" t="n">
        <v>18</v>
      </c>
      <c r="F9" s="12">
        <f>SUMIFS(Detail!$G$4:$G$180,Detail!$A$4:$A$180,$A9)</f>
        <v/>
      </c>
      <c r="G9" s="11" t="n">
        <v>140</v>
      </c>
      <c r="H9" s="12">
        <f>$G9*Assumptions!$B$5</f>
        <v/>
      </c>
      <c r="I9" s="13">
        <f>IFERROR($F9/$H9,0)</f>
        <v/>
      </c>
      <c r="J9" s="10" t="inlineStr">
        <is>
          <t>406.5h across 7 engineer(s)</t>
        </is>
      </c>
    </row>
    <row r="10">
      <c r="A10" s="10" t="inlineStr">
        <is>
          <t>YODA</t>
        </is>
      </c>
      <c r="B10" s="10" t="inlineStr">
        <is>
          <t>YODA</t>
        </is>
      </c>
      <c r="C10" s="10" t="inlineStr">
        <is>
          <t>YODA</t>
        </is>
      </c>
      <c r="D10" s="11" t="n">
        <v>8</v>
      </c>
      <c r="E10" s="11" t="n">
        <v>29</v>
      </c>
      <c r="F10" s="12">
        <f>SUMIFS(Detail!$G$4:$G$180,Detail!$A$4:$A$180,$A10)</f>
        <v/>
      </c>
      <c r="G10" s="11" t="n">
        <v>136</v>
      </c>
      <c r="H10" s="12">
        <f>$G10*Assumptions!$B$5</f>
        <v/>
      </c>
      <c r="I10" s="13">
        <f>IFERROR($F10/$H10,0)</f>
        <v/>
      </c>
      <c r="J10" s="10" t="inlineStr">
        <is>
          <t>497.9h across 8 engineer(s)</t>
        </is>
      </c>
    </row>
    <row r="12">
      <c r="A12" s="3" t="inlineStr">
        <is>
          <t>ALL TEAMS</t>
        </is>
      </c>
      <c r="D12" s="14">
        <f>SUM(D5:D10)</f>
        <v/>
      </c>
      <c r="E12" s="14">
        <f>SUM(E5:E10)</f>
        <v/>
      </c>
      <c r="F12" s="15">
        <f>SUM(F5:F10)</f>
        <v/>
      </c>
      <c r="G12" s="14">
        <f>SUM(G5:G10)</f>
        <v/>
      </c>
      <c r="H12" s="15">
        <f>SUM(H5:H10)</f>
        <v/>
      </c>
      <c r="I12" s="16">
        <f>IFERROR($F12/$H12,0)</f>
        <v/>
      </c>
    </row>
  </sheetData>
  <autoFilter ref="A4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Pastel de Portal Team — WBSO hours, 2025-10</t>
        </is>
      </c>
    </row>
    <row r="2">
      <c r="A2" s="5" t="inlineStr">
        <is>
          <t>Pastel de Portal Team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alan.silva</t>
        </is>
      </c>
      <c r="B5" s="10" t="inlineStr">
        <is>
          <t>PT-351</t>
        </is>
      </c>
      <c r="C5" s="10" t="inlineStr">
        <is>
          <t>PT-351 VOP File Check Improvements</t>
        </is>
      </c>
      <c r="D5" s="12">
        <f>SUMIFS(Detail!$G$4:$G$180,Detail!$A$4:$A$180,$A$2,Detail!$B$4:$B$180,$A5,Detail!$C$4:$C$180,$B5)</f>
        <v/>
      </c>
    </row>
    <row r="6">
      <c r="A6" s="10" t="inlineStr">
        <is>
          <t>alan.silva</t>
        </is>
      </c>
      <c r="B6" s="10" t="inlineStr">
        <is>
          <t>PT-420</t>
        </is>
      </c>
      <c r="C6" s="10" t="inlineStr">
        <is>
          <t>PT-420 VoP For Corporates</t>
        </is>
      </c>
      <c r="D6" s="12">
        <f>SUMIFS(Detail!$G$4:$G$180,Detail!$A$4:$A$180,$A$2,Detail!$B$4:$B$180,$A6,Detail!$C$4:$C$180,$B6)</f>
        <v/>
      </c>
    </row>
    <row r="7">
      <c r="A7" s="10" t="inlineStr">
        <is>
          <t>Vitor Fernandes</t>
        </is>
      </c>
      <c r="B7" s="10" t="inlineStr">
        <is>
          <t>PT-351</t>
        </is>
      </c>
      <c r="C7" s="10" t="inlineStr">
        <is>
          <t>PT-351 VOP File Check Improvements</t>
        </is>
      </c>
      <c r="D7" s="12">
        <f>SUMIFS(Detail!$G$4:$G$180,Detail!$A$4:$A$180,$A$2,Detail!$B$4:$B$180,$A7,Detail!$C$4:$C$180,$B7)</f>
        <v/>
      </c>
    </row>
    <row r="8">
      <c r="A8" s="10" t="inlineStr">
        <is>
          <t>Vitor Fernandes</t>
        </is>
      </c>
      <c r="B8" s="10" t="inlineStr">
        <is>
          <t>PT-420</t>
        </is>
      </c>
      <c r="C8" s="10" t="inlineStr">
        <is>
          <t>PT-420 VoP For Corporates</t>
        </is>
      </c>
      <c r="D8" s="12">
        <f>SUMIFS(Detail!$G$4:$G$180,Detail!$A$4:$A$180,$A$2,Detail!$B$4:$B$180,$A8,Detail!$C$4:$C$180,$B8)</f>
        <v/>
      </c>
    </row>
    <row r="9">
      <c r="A9" s="10" t="inlineStr">
        <is>
          <t>Basar Soker</t>
        </is>
      </c>
      <c r="B9" s="10" t="inlineStr">
        <is>
          <t>PT-421</t>
        </is>
      </c>
      <c r="C9" s="10" t="inlineStr">
        <is>
          <t>PT-421 Multi Region Implementation</t>
        </is>
      </c>
      <c r="D9" s="12">
        <f>SUMIFS(Detail!$G$4:$G$180,Detail!$A$4:$A$180,$A$2,Detail!$B$4:$B$180,$A9,Detail!$C$4:$C$180,$B9)</f>
        <v/>
      </c>
    </row>
    <row r="10">
      <c r="A10" s="17" t="n"/>
      <c r="B10" s="17" t="n"/>
      <c r="C10" s="18" t="inlineStr">
        <is>
          <t>TEAM TOTAL</t>
        </is>
      </c>
      <c r="D10" s="19">
        <f>SUM(D5:D9)</f>
        <v/>
      </c>
    </row>
    <row r="13">
      <c r="A13" s="6" t="inlineStr">
        <is>
          <t>Per engineer</t>
        </is>
      </c>
    </row>
    <row r="14">
      <c r="A14" s="9" t="inlineStr">
        <is>
          <t>Engineer</t>
        </is>
      </c>
      <c r="B14" s="9" t="inlineStr">
        <is>
          <t>WBSO hours</t>
        </is>
      </c>
      <c r="C14" s="9" t="inlineStr">
        <is>
          <t>Day equivalent</t>
        </is>
      </c>
      <c r="D14" s="9" t="inlineStr">
        <is>
          <t>Active days</t>
        </is>
      </c>
      <c r="E14" s="9" t="inlineStr">
        <is>
          <t>Capacity hours</t>
        </is>
      </c>
      <c r="F14" s="9" t="inlineStr">
        <is>
          <t>WBSO share</t>
        </is>
      </c>
      <c r="G14" s="9" t="inlineStr">
        <is>
          <t>Peak tickets/day</t>
        </is>
      </c>
    </row>
    <row r="15">
      <c r="A15" s="10" t="inlineStr">
        <is>
          <t>alan.silva</t>
        </is>
      </c>
      <c r="B15" s="12">
        <f>SUMIFS(Detail!$G$4:$G$180,Detail!$A$4:$A$180,$A$2,Detail!$B$4:$B$180,$A15)</f>
        <v/>
      </c>
      <c r="C15" s="12">
        <f>IFERROR($B15/Assumptions!$B$5,0)</f>
        <v/>
      </c>
      <c r="D15" s="11" t="n">
        <v>22</v>
      </c>
      <c r="E15" s="12">
        <f>$D15*Assumptions!$B$5</f>
        <v/>
      </c>
      <c r="F15" s="13">
        <f>IFERROR($B15/$E15,0)</f>
        <v/>
      </c>
      <c r="G15" s="11" t="inlineStr">
        <is>
          <t>7 on 29 Oct</t>
        </is>
      </c>
    </row>
    <row r="16">
      <c r="A16" s="10" t="inlineStr">
        <is>
          <t>Vitor Fernandes</t>
        </is>
      </c>
      <c r="B16" s="12">
        <f>SUMIFS(Detail!$G$4:$G$180,Detail!$A$4:$A$180,$A$2,Detail!$B$4:$B$180,$A16)</f>
        <v/>
      </c>
      <c r="C16" s="12">
        <f>IFERROR($B16/Assumptions!$B$5,0)</f>
        <v/>
      </c>
      <c r="D16" s="11" t="n">
        <v>23</v>
      </c>
      <c r="E16" s="12">
        <f>$D16*Assumptions!$B$5</f>
        <v/>
      </c>
      <c r="F16" s="13">
        <f>IFERROR($B16/$E16,0)</f>
        <v/>
      </c>
      <c r="G16" s="11" t="inlineStr">
        <is>
          <t>5 on 07 Oct</t>
        </is>
      </c>
    </row>
    <row r="17">
      <c r="A17" s="10" t="inlineStr">
        <is>
          <t>Basar Soker</t>
        </is>
      </c>
      <c r="B17" s="12">
        <f>SUMIFS(Detail!$G$4:$G$180,Detail!$A$4:$A$180,$A$2,Detail!$B$4:$B$180,$A17)</f>
        <v/>
      </c>
      <c r="C17" s="12">
        <f>IFERROR($B17/Assumptions!$B$5,0)</f>
        <v/>
      </c>
      <c r="D17" s="11" t="n">
        <v>19</v>
      </c>
      <c r="E17" s="12">
        <f>$D17*Assumptions!$B$5</f>
        <v/>
      </c>
      <c r="F17" s="13">
        <f>IFERROR($B17/$E17,0)</f>
        <v/>
      </c>
      <c r="G17" s="11" t="inlineStr">
        <is>
          <t>4 on 16 Oct</t>
        </is>
      </c>
    </row>
    <row r="18">
      <c r="A18" s="3" t="inlineStr">
        <is>
          <t>TOTAL</t>
        </is>
      </c>
      <c r="B18" s="15">
        <f>SUM(B15:B17)</f>
        <v/>
      </c>
      <c r="C18" s="15">
        <f>SUM(C15:C17)</f>
        <v/>
      </c>
      <c r="D18" s="15">
        <f>SUM(D15:D17)</f>
        <v/>
      </c>
      <c r="E18" s="15">
        <f>SUM(E15:E17)</f>
        <v/>
      </c>
      <c r="F18" s="16">
        <f>IFERROR($B18/$E18,0)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Platform Team 6 — WBSO hours, 2025-10</t>
        </is>
      </c>
    </row>
    <row r="2">
      <c r="A2" s="5" t="inlineStr">
        <is>
          <t>Platform Team 6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Venkata Mannam</t>
        </is>
      </c>
      <c r="B5" s="10" t="inlineStr">
        <is>
          <t>PT6-1419</t>
        </is>
      </c>
      <c r="C5" s="10" t="inlineStr">
        <is>
          <t>PT6-1419 Traefik migration V3</t>
        </is>
      </c>
      <c r="D5" s="12">
        <f>SUMIFS(Detail!$G$4:$G$180,Detail!$A$4:$A$180,$A$2,Detail!$B$4:$B$180,$A5,Detail!$C$4:$C$180,$B5)</f>
        <v/>
      </c>
    </row>
    <row r="6">
      <c r="A6" s="10" t="inlineStr">
        <is>
          <t>Venkata Mannam</t>
        </is>
      </c>
      <c r="B6" s="10" t="inlineStr">
        <is>
          <t>PT6-1670</t>
        </is>
      </c>
      <c r="C6" s="10" t="inlineStr">
        <is>
          <t xml:space="preserve">PT6-1670 Multi region </t>
        </is>
      </c>
      <c r="D6" s="12">
        <f>SUMIFS(Detail!$G$4:$G$180,Detail!$A$4:$A$180,$A$2,Detail!$B$4:$B$180,$A6,Detail!$C$4:$C$180,$B6)</f>
        <v/>
      </c>
    </row>
    <row r="7">
      <c r="A7" s="10" t="inlineStr">
        <is>
          <t>Venkata Mannam</t>
        </is>
      </c>
      <c r="B7" s="10" t="inlineStr">
        <is>
          <t>PT6-1710</t>
        </is>
      </c>
      <c r="C7" s="10" t="inlineStr">
        <is>
          <t xml:space="preserve">PT6-1710 K8s/Traefik Enhancements  </t>
        </is>
      </c>
      <c r="D7" s="12">
        <f>SUMIFS(Detail!$G$4:$G$180,Detail!$A$4:$A$180,$A$2,Detail!$B$4:$B$180,$A7,Detail!$C$4:$C$180,$B7)</f>
        <v/>
      </c>
    </row>
    <row r="8">
      <c r="A8" s="10" t="inlineStr">
        <is>
          <t>Elton Qevani</t>
        </is>
      </c>
      <c r="B8" s="10" t="inlineStr">
        <is>
          <t>PT6-1670</t>
        </is>
      </c>
      <c r="C8" s="10" t="inlineStr">
        <is>
          <t xml:space="preserve">PT6-1670 Multi region </t>
        </is>
      </c>
      <c r="D8" s="12">
        <f>SUMIFS(Detail!$G$4:$G$180,Detail!$A$4:$A$180,$A$2,Detail!$B$4:$B$180,$A8,Detail!$C$4:$C$180,$B8)</f>
        <v/>
      </c>
    </row>
    <row r="9">
      <c r="A9" s="10" t="inlineStr">
        <is>
          <t>Elton Qevani</t>
        </is>
      </c>
      <c r="B9" s="10" t="inlineStr">
        <is>
          <t>PT6-1911</t>
        </is>
      </c>
      <c r="C9" s="10" t="inlineStr">
        <is>
          <t>PT6-1911 Observability</t>
        </is>
      </c>
      <c r="D9" s="12">
        <f>SUMIFS(Detail!$G$4:$G$180,Detail!$A$4:$A$180,$A$2,Detail!$B$4:$B$180,$A9,Detail!$C$4:$C$180,$B9)</f>
        <v/>
      </c>
    </row>
    <row r="10">
      <c r="A10" s="10" t="inlineStr">
        <is>
          <t>Rafay Khan</t>
        </is>
      </c>
      <c r="B10" s="10" t="inlineStr">
        <is>
          <t>PT6-1670</t>
        </is>
      </c>
      <c r="C10" s="10" t="inlineStr">
        <is>
          <t xml:space="preserve">PT6-1670 Multi region </t>
        </is>
      </c>
      <c r="D10" s="12">
        <f>SUMIFS(Detail!$G$4:$G$180,Detail!$A$4:$A$180,$A$2,Detail!$B$4:$B$180,$A10,Detail!$C$4:$C$180,$B10)</f>
        <v/>
      </c>
    </row>
    <row r="11">
      <c r="A11" s="10" t="inlineStr">
        <is>
          <t>Mete Han Karacüllü</t>
        </is>
      </c>
      <c r="B11" s="10" t="inlineStr">
        <is>
          <t>PT6-1670</t>
        </is>
      </c>
      <c r="C11" s="10" t="inlineStr">
        <is>
          <t xml:space="preserve">PT6-1670 Multi region </t>
        </is>
      </c>
      <c r="D11" s="12">
        <f>SUMIFS(Detail!$G$4:$G$180,Detail!$A$4:$A$180,$A$2,Detail!$B$4:$B$180,$A11,Detail!$C$4:$C$180,$B11)</f>
        <v/>
      </c>
    </row>
    <row r="12">
      <c r="A12" s="10" t="inlineStr">
        <is>
          <t>Iakovos Belonias</t>
        </is>
      </c>
      <c r="B12" s="10" t="inlineStr">
        <is>
          <t>PT6-1670</t>
        </is>
      </c>
      <c r="C12" s="10" t="inlineStr">
        <is>
          <t xml:space="preserve">PT6-1670 Multi region </t>
        </is>
      </c>
      <c r="D12" s="12">
        <f>SUMIFS(Detail!$G$4:$G$180,Detail!$A$4:$A$180,$A$2,Detail!$B$4:$B$180,$A12,Detail!$C$4:$C$180,$B12)</f>
        <v/>
      </c>
    </row>
    <row r="13">
      <c r="A13" s="17" t="n"/>
      <c r="B13" s="17" t="n"/>
      <c r="C13" s="18" t="inlineStr">
        <is>
          <t>TEAM TOTAL</t>
        </is>
      </c>
      <c r="D13" s="19">
        <f>SUM(D5:D12)</f>
        <v/>
      </c>
    </row>
    <row r="16">
      <c r="A16" s="6" t="inlineStr">
        <is>
          <t>Per engineer</t>
        </is>
      </c>
    </row>
    <row r="17">
      <c r="A17" s="9" t="inlineStr">
        <is>
          <t>Engineer</t>
        </is>
      </c>
      <c r="B17" s="9" t="inlineStr">
        <is>
          <t>WBSO hours</t>
        </is>
      </c>
      <c r="C17" s="9" t="inlineStr">
        <is>
          <t>Day equivalent</t>
        </is>
      </c>
      <c r="D17" s="9" t="inlineStr">
        <is>
          <t>Active days</t>
        </is>
      </c>
      <c r="E17" s="9" t="inlineStr">
        <is>
          <t>Capacity hours</t>
        </is>
      </c>
      <c r="F17" s="9" t="inlineStr">
        <is>
          <t>WBSO share</t>
        </is>
      </c>
      <c r="G17" s="9" t="inlineStr">
        <is>
          <t>Peak tickets/day</t>
        </is>
      </c>
    </row>
    <row r="18">
      <c r="A18" s="10" t="inlineStr">
        <is>
          <t>Venkata Mannam</t>
        </is>
      </c>
      <c r="B18" s="12">
        <f>SUMIFS(Detail!$G$4:$G$180,Detail!$A$4:$A$180,$A$2,Detail!$B$4:$B$180,$A18)</f>
        <v/>
      </c>
      <c r="C18" s="12">
        <f>IFERROR($B18/Assumptions!$B$5,0)</f>
        <v/>
      </c>
      <c r="D18" s="11" t="n">
        <v>23</v>
      </c>
      <c r="E18" s="12">
        <f>$D18*Assumptions!$B$5</f>
        <v/>
      </c>
      <c r="F18" s="13">
        <f>IFERROR($B18/$E18,0)</f>
        <v/>
      </c>
      <c r="G18" s="11" t="inlineStr">
        <is>
          <t>2 on 14 Oct</t>
        </is>
      </c>
    </row>
    <row r="19">
      <c r="A19" s="10" t="inlineStr">
        <is>
          <t>Elton Qevani</t>
        </is>
      </c>
      <c r="B19" s="12">
        <f>SUMIFS(Detail!$G$4:$G$180,Detail!$A$4:$A$180,$A$2,Detail!$B$4:$B$180,$A19)</f>
        <v/>
      </c>
      <c r="C19" s="12">
        <f>IFERROR($B19/Assumptions!$B$5,0)</f>
        <v/>
      </c>
      <c r="D19" s="11" t="n">
        <v>19</v>
      </c>
      <c r="E19" s="12">
        <f>$D19*Assumptions!$B$5</f>
        <v/>
      </c>
      <c r="F19" s="13">
        <f>IFERROR($B19/$E19,0)</f>
        <v/>
      </c>
      <c r="G19" s="11" t="inlineStr">
        <is>
          <t>3 on 02 Oct</t>
        </is>
      </c>
    </row>
    <row r="20">
      <c r="A20" s="10" t="inlineStr">
        <is>
          <t>Rafay Khan</t>
        </is>
      </c>
      <c r="B20" s="12">
        <f>SUMIFS(Detail!$G$4:$G$180,Detail!$A$4:$A$180,$A$2,Detail!$B$4:$B$180,$A20)</f>
        <v/>
      </c>
      <c r="C20" s="12">
        <f>IFERROR($B20/Assumptions!$B$5,0)</f>
        <v/>
      </c>
      <c r="D20" s="11" t="n">
        <v>23</v>
      </c>
      <c r="E20" s="12">
        <f>$D20*Assumptions!$B$5</f>
        <v/>
      </c>
      <c r="F20" s="13">
        <f>IFERROR($B20/$E20,0)</f>
        <v/>
      </c>
      <c r="G20" s="11" t="inlineStr">
        <is>
          <t>4 on 14 Oct</t>
        </is>
      </c>
    </row>
    <row r="21">
      <c r="A21" s="10" t="inlineStr">
        <is>
          <t>Mete Han Karacüllü</t>
        </is>
      </c>
      <c r="B21" s="12">
        <f>SUMIFS(Detail!$G$4:$G$180,Detail!$A$4:$A$180,$A$2,Detail!$B$4:$B$180,$A21)</f>
        <v/>
      </c>
      <c r="C21" s="12">
        <f>IFERROR($B21/Assumptions!$B$5,0)</f>
        <v/>
      </c>
      <c r="D21" s="11" t="n">
        <v>23</v>
      </c>
      <c r="E21" s="12">
        <f>$D21*Assumptions!$B$5</f>
        <v/>
      </c>
      <c r="F21" s="13">
        <f>IFERROR($B21/$E21,0)</f>
        <v/>
      </c>
      <c r="G21" s="11" t="inlineStr">
        <is>
          <t>4 on 22 Oct</t>
        </is>
      </c>
    </row>
    <row r="22">
      <c r="A22" s="10" t="inlineStr">
        <is>
          <t>Iakovos Belonias</t>
        </is>
      </c>
      <c r="B22" s="12">
        <f>SUMIFS(Detail!$G$4:$G$180,Detail!$A$4:$A$180,$A$2,Detail!$B$4:$B$180,$A22)</f>
        <v/>
      </c>
      <c r="C22" s="12">
        <f>IFERROR($B22/Assumptions!$B$5,0)</f>
        <v/>
      </c>
      <c r="D22" s="11" t="n">
        <v>21</v>
      </c>
      <c r="E22" s="12">
        <f>$D22*Assumptions!$B$5</f>
        <v/>
      </c>
      <c r="F22" s="13">
        <f>IFERROR($B22/$E22,0)</f>
        <v/>
      </c>
      <c r="G22" s="11" t="inlineStr">
        <is>
          <t>7 on 22 Oct</t>
        </is>
      </c>
    </row>
    <row r="23">
      <c r="A23" s="3" t="inlineStr">
        <is>
          <t>TOTAL</t>
        </is>
      </c>
      <c r="B23" s="15">
        <f>SUM(B18:B22)</f>
        <v/>
      </c>
      <c r="C23" s="15">
        <f>SUM(C18:C22)</f>
        <v/>
      </c>
      <c r="D23" s="15">
        <f>SUM(D18:D22)</f>
        <v/>
      </c>
      <c r="E23" s="15">
        <f>SUM(E18:E22)</f>
        <v/>
      </c>
      <c r="F23" s="16">
        <f>IFERROR($B23/$E23,0)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Horizon — WBSO hours, 2025-10</t>
        </is>
      </c>
    </row>
    <row r="2">
      <c r="A2" s="5" t="inlineStr">
        <is>
          <t>Team Horizon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Arpit Dahiya</t>
        </is>
      </c>
      <c r="B5" s="10" t="inlineStr">
        <is>
          <t>SUK-5790</t>
        </is>
      </c>
      <c r="C5" s="10" t="inlineStr">
        <is>
          <t>SUK-5790 VOP Improvements  - 2025</t>
        </is>
      </c>
      <c r="D5" s="12">
        <f>SUMIFS(Detail!$G$4:$G$180,Detail!$A$4:$A$180,$A$2,Detail!$B$4:$B$180,$A5,Detail!$C$4:$C$180,$B5)</f>
        <v/>
      </c>
    </row>
    <row r="6">
      <c r="A6" s="10" t="inlineStr">
        <is>
          <t>Ryan Shepherd</t>
        </is>
      </c>
      <c r="B6" s="10" t="inlineStr">
        <is>
          <t>SUK-5466</t>
        </is>
      </c>
      <c r="C6" s="10" t="inlineStr">
        <is>
          <t>SUK-5466 VOP Outbound Adaptor</t>
        </is>
      </c>
      <c r="D6" s="12">
        <f>SUMIFS(Detail!$G$4:$G$180,Detail!$A$4:$A$180,$A$2,Detail!$B$4:$B$180,$A6,Detail!$C$4:$C$180,$B6)</f>
        <v/>
      </c>
    </row>
    <row r="7">
      <c r="A7" s="10" t="inlineStr">
        <is>
          <t>Ryan Shepherd</t>
        </is>
      </c>
      <c r="B7" s="10" t="inlineStr">
        <is>
          <t>SUK-5578</t>
        </is>
      </c>
      <c r="C7" s="10" t="inlineStr">
        <is>
          <t xml:space="preserve">SUK-5578 VOP Inbound Adaptor </t>
        </is>
      </c>
      <c r="D7" s="12">
        <f>SUMIFS(Detail!$G$4:$G$180,Detail!$A$4:$A$180,$A$2,Detail!$B$4:$B$180,$A7,Detail!$C$4:$C$180,$B7)</f>
        <v/>
      </c>
    </row>
    <row r="8">
      <c r="A8" s="10" t="inlineStr">
        <is>
          <t>Ryan Shepherd</t>
        </is>
      </c>
      <c r="B8" s="10" t="inlineStr">
        <is>
          <t>SUK-5790</t>
        </is>
      </c>
      <c r="C8" s="10" t="inlineStr">
        <is>
          <t>SUK-5790 VOP Improvements  - 2025</t>
        </is>
      </c>
      <c r="D8" s="12">
        <f>SUMIFS(Detail!$G$4:$G$180,Detail!$A$4:$A$180,$A$2,Detail!$B$4:$B$180,$A8,Detail!$C$4:$C$180,$B8)</f>
        <v/>
      </c>
    </row>
    <row r="9">
      <c r="A9" s="10" t="inlineStr">
        <is>
          <t>Péter Veres</t>
        </is>
      </c>
      <c r="B9" s="10" t="inlineStr">
        <is>
          <t>SUK-5787</t>
        </is>
      </c>
      <c r="C9" s="10" t="inlineStr">
        <is>
          <t>SUK-5787 NEW: Support for BIC8</t>
        </is>
      </c>
      <c r="D9" s="12">
        <f>SUMIFS(Detail!$G$4:$G$180,Detail!$A$4:$A$180,$A$2,Detail!$B$4:$B$180,$A9,Detail!$C$4:$C$180,$B9)</f>
        <v/>
      </c>
    </row>
    <row r="10">
      <c r="A10" s="10" t="inlineStr">
        <is>
          <t>Péter Veres</t>
        </is>
      </c>
      <c r="B10" s="10" t="inlineStr">
        <is>
          <t>SUK-5790</t>
        </is>
      </c>
      <c r="C10" s="10" t="inlineStr">
        <is>
          <t>SUK-5790 VOP Improvements  - 2025</t>
        </is>
      </c>
      <c r="D10" s="12">
        <f>SUMIFS(Detail!$G$4:$G$180,Detail!$A$4:$A$180,$A$2,Detail!$B$4:$B$180,$A10,Detail!$C$4:$C$180,$B10)</f>
        <v/>
      </c>
    </row>
    <row r="11">
      <c r="A11" s="10" t="inlineStr">
        <is>
          <t>Adorjan Fritz</t>
        </is>
      </c>
      <c r="B11" s="10" t="inlineStr">
        <is>
          <t>SUK-5578</t>
        </is>
      </c>
      <c r="C11" s="10" t="inlineStr">
        <is>
          <t xml:space="preserve">SUK-5578 VOP Inbound Adaptor </t>
        </is>
      </c>
      <c r="D11" s="12">
        <f>SUMIFS(Detail!$G$4:$G$180,Detail!$A$4:$A$180,$A$2,Detail!$B$4:$B$180,$A11,Detail!$C$4:$C$180,$B11)</f>
        <v/>
      </c>
    </row>
    <row r="12">
      <c r="A12" s="10" t="inlineStr">
        <is>
          <t>Adorjan Fritz</t>
        </is>
      </c>
      <c r="B12" s="10" t="inlineStr">
        <is>
          <t>SUK-5751</t>
        </is>
      </c>
      <c r="C12" s="10" t="inlineStr">
        <is>
          <t xml:space="preserve">SUK-5751 VOP Multi Region </t>
        </is>
      </c>
      <c r="D12" s="12">
        <f>SUMIFS(Detail!$G$4:$G$180,Detail!$A$4:$A$180,$A$2,Detail!$B$4:$B$180,$A12,Detail!$C$4:$C$180,$B12)</f>
        <v/>
      </c>
    </row>
    <row r="13">
      <c r="A13" s="10" t="inlineStr">
        <is>
          <t>Adorjan Fritz</t>
        </is>
      </c>
      <c r="B13" s="10" t="inlineStr">
        <is>
          <t>SUK-5787</t>
        </is>
      </c>
      <c r="C13" s="10" t="inlineStr">
        <is>
          <t>SUK-5787 NEW: Support for BIC8</t>
        </is>
      </c>
      <c r="D13" s="12">
        <f>SUMIFS(Detail!$G$4:$G$180,Detail!$A$4:$A$180,$A$2,Detail!$B$4:$B$180,$A13,Detail!$C$4:$C$180,$B13)</f>
        <v/>
      </c>
    </row>
    <row r="14">
      <c r="A14" s="10" t="inlineStr">
        <is>
          <t>Adorjan Fritz</t>
        </is>
      </c>
      <c r="B14" s="10" t="inlineStr">
        <is>
          <t>SUK-5790</t>
        </is>
      </c>
      <c r="C14" s="10" t="inlineStr">
        <is>
          <t>SUK-5790 VOP Improvements  - 2025</t>
        </is>
      </c>
      <c r="D14" s="12">
        <f>SUMIFS(Detail!$G$4:$G$180,Detail!$A$4:$A$180,$A$2,Detail!$B$4:$B$180,$A14,Detail!$C$4:$C$180,$B14)</f>
        <v/>
      </c>
    </row>
    <row r="15">
      <c r="A15" s="10" t="inlineStr">
        <is>
          <t>Julian Mulder</t>
        </is>
      </c>
      <c r="B15" s="10" t="inlineStr">
        <is>
          <t>SUK-5466</t>
        </is>
      </c>
      <c r="C15" s="10" t="inlineStr">
        <is>
          <t>SUK-5466 VOP Outbound Adaptor</t>
        </is>
      </c>
      <c r="D15" s="12">
        <f>SUMIFS(Detail!$G$4:$G$180,Detail!$A$4:$A$180,$A$2,Detail!$B$4:$B$180,$A15,Detail!$C$4:$C$180,$B15)</f>
        <v/>
      </c>
    </row>
    <row r="16">
      <c r="A16" s="10" t="inlineStr">
        <is>
          <t>Julian Mulder</t>
        </is>
      </c>
      <c r="B16" s="10" t="inlineStr">
        <is>
          <t>SUK-5578</t>
        </is>
      </c>
      <c r="C16" s="10" t="inlineStr">
        <is>
          <t xml:space="preserve">SUK-5578 VOP Inbound Adaptor </t>
        </is>
      </c>
      <c r="D16" s="12">
        <f>SUMIFS(Detail!$G$4:$G$180,Detail!$A$4:$A$180,$A$2,Detail!$B$4:$B$180,$A16,Detail!$C$4:$C$180,$B16)</f>
        <v/>
      </c>
    </row>
    <row r="17">
      <c r="A17" s="10" t="inlineStr">
        <is>
          <t>Julian Mulder</t>
        </is>
      </c>
      <c r="B17" s="10" t="inlineStr">
        <is>
          <t>SUK-5790</t>
        </is>
      </c>
      <c r="C17" s="10" t="inlineStr">
        <is>
          <t>SUK-5790 VOP Improvements  - 2025</t>
        </is>
      </c>
      <c r="D17" s="12">
        <f>SUMIFS(Detail!$G$4:$G$180,Detail!$A$4:$A$180,$A$2,Detail!$B$4:$B$180,$A17,Detail!$C$4:$C$180,$B17)</f>
        <v/>
      </c>
    </row>
    <row r="18">
      <c r="A18" s="10" t="inlineStr">
        <is>
          <t>Prabhukiran Narava</t>
        </is>
      </c>
      <c r="B18" s="10" t="inlineStr">
        <is>
          <t>SUK-5578</t>
        </is>
      </c>
      <c r="C18" s="10" t="inlineStr">
        <is>
          <t xml:space="preserve">SUK-5578 VOP Inbound Adaptor </t>
        </is>
      </c>
      <c r="D18" s="12">
        <f>SUMIFS(Detail!$G$4:$G$180,Detail!$A$4:$A$180,$A$2,Detail!$B$4:$B$180,$A18,Detail!$C$4:$C$180,$B18)</f>
        <v/>
      </c>
    </row>
    <row r="19">
      <c r="A19" s="10" t="inlineStr">
        <is>
          <t>Prabhukiran Narava</t>
        </is>
      </c>
      <c r="B19" s="10" t="inlineStr">
        <is>
          <t>SUK-5790</t>
        </is>
      </c>
      <c r="C19" s="10" t="inlineStr">
        <is>
          <t>SUK-5790 VOP Improvements  - 2025</t>
        </is>
      </c>
      <c r="D19" s="12">
        <f>SUMIFS(Detail!$G$4:$G$180,Detail!$A$4:$A$180,$A$2,Detail!$B$4:$B$180,$A19,Detail!$C$4:$C$180,$B19)</f>
        <v/>
      </c>
    </row>
    <row r="20">
      <c r="A20" s="10" t="inlineStr">
        <is>
          <t>Sanjay Chaudhary</t>
        </is>
      </c>
      <c r="B20" s="10" t="inlineStr">
        <is>
          <t>SUK-5751</t>
        </is>
      </c>
      <c r="C20" s="10" t="inlineStr">
        <is>
          <t xml:space="preserve">SUK-5751 VOP Multi Region </t>
        </is>
      </c>
      <c r="D20" s="12">
        <f>SUMIFS(Detail!$G$4:$G$180,Detail!$A$4:$A$180,$A$2,Detail!$B$4:$B$180,$A20,Detail!$C$4:$C$180,$B20)</f>
        <v/>
      </c>
    </row>
    <row r="21">
      <c r="A21" s="10" t="inlineStr">
        <is>
          <t>Sanjay Chaudhary</t>
        </is>
      </c>
      <c r="B21" s="10" t="inlineStr">
        <is>
          <t>SUK-5790</t>
        </is>
      </c>
      <c r="C21" s="10" t="inlineStr">
        <is>
          <t>SUK-5790 VOP Improvements  - 2025</t>
        </is>
      </c>
      <c r="D21" s="12">
        <f>SUMIFS(Detail!$G$4:$G$180,Detail!$A$4:$A$180,$A$2,Detail!$B$4:$B$180,$A21,Detail!$C$4:$C$180,$B21)</f>
        <v/>
      </c>
    </row>
    <row r="22">
      <c r="A22" s="10" t="inlineStr">
        <is>
          <t>Nikolay Antonov</t>
        </is>
      </c>
      <c r="B22" s="10" t="inlineStr">
        <is>
          <t>SUK-5790</t>
        </is>
      </c>
      <c r="C22" s="10" t="inlineStr">
        <is>
          <t>SUK-5790 VOP Improvements  - 2025</t>
        </is>
      </c>
      <c r="D22" s="12">
        <f>SUMIFS(Detail!$G$4:$G$180,Detail!$A$4:$A$180,$A$2,Detail!$B$4:$B$180,$A22,Detail!$C$4:$C$180,$B22)</f>
        <v/>
      </c>
    </row>
    <row r="23">
      <c r="A23" s="17" t="n"/>
      <c r="B23" s="17" t="n"/>
      <c r="C23" s="18" t="inlineStr">
        <is>
          <t>TEAM TOTAL</t>
        </is>
      </c>
      <c r="D23" s="19">
        <f>SUM(D5:D22)</f>
        <v/>
      </c>
    </row>
    <row r="26">
      <c r="A26" s="6" t="inlineStr">
        <is>
          <t>Per engineer</t>
        </is>
      </c>
    </row>
    <row r="27">
      <c r="A27" s="9" t="inlineStr">
        <is>
          <t>Engineer</t>
        </is>
      </c>
      <c r="B27" s="9" t="inlineStr">
        <is>
          <t>WBSO hours</t>
        </is>
      </c>
      <c r="C27" s="9" t="inlineStr">
        <is>
          <t>Day equivalent</t>
        </is>
      </c>
      <c r="D27" s="9" t="inlineStr">
        <is>
          <t>Active days</t>
        </is>
      </c>
      <c r="E27" s="9" t="inlineStr">
        <is>
          <t>Capacity hours</t>
        </is>
      </c>
      <c r="F27" s="9" t="inlineStr">
        <is>
          <t>WBSO share</t>
        </is>
      </c>
      <c r="G27" s="9" t="inlineStr">
        <is>
          <t>Peak tickets/day</t>
        </is>
      </c>
    </row>
    <row r="28">
      <c r="A28" s="10" t="inlineStr">
        <is>
          <t>Arpit Dahiya</t>
        </is>
      </c>
      <c r="B28" s="12">
        <f>SUMIFS(Detail!$G$4:$G$180,Detail!$A$4:$A$180,$A$2,Detail!$B$4:$B$180,$A28)</f>
        <v/>
      </c>
      <c r="C28" s="12">
        <f>IFERROR($B28/Assumptions!$B$5,0)</f>
        <v/>
      </c>
      <c r="D28" s="11" t="n">
        <v>21</v>
      </c>
      <c r="E28" s="12">
        <f>$D28*Assumptions!$B$5</f>
        <v/>
      </c>
      <c r="F28" s="13">
        <f>IFERROR($B28/$E28,0)</f>
        <v/>
      </c>
      <c r="G28" s="11" t="inlineStr">
        <is>
          <t>4 on 20 Oct</t>
        </is>
      </c>
    </row>
    <row r="29">
      <c r="A29" s="10" t="inlineStr">
        <is>
          <t>Ryan Shepherd</t>
        </is>
      </c>
      <c r="B29" s="12">
        <f>SUMIFS(Detail!$G$4:$G$180,Detail!$A$4:$A$180,$A$2,Detail!$B$4:$B$180,$A29)</f>
        <v/>
      </c>
      <c r="C29" s="12">
        <f>IFERROR($B29/Assumptions!$B$5,0)</f>
        <v/>
      </c>
      <c r="D29" s="11" t="n">
        <v>23</v>
      </c>
      <c r="E29" s="12">
        <f>$D29*Assumptions!$B$5</f>
        <v/>
      </c>
      <c r="F29" s="13">
        <f>IFERROR($B29/$E29,0)</f>
        <v/>
      </c>
      <c r="G29" s="11" t="inlineStr">
        <is>
          <t>9 on 10 Oct</t>
        </is>
      </c>
    </row>
    <row r="30">
      <c r="A30" s="10" t="inlineStr">
        <is>
          <t>Péter Veres</t>
        </is>
      </c>
      <c r="B30" s="12">
        <f>SUMIFS(Detail!$G$4:$G$180,Detail!$A$4:$A$180,$A$2,Detail!$B$4:$B$180,$A30)</f>
        <v/>
      </c>
      <c r="C30" s="12">
        <f>IFERROR($B30/Assumptions!$B$5,0)</f>
        <v/>
      </c>
      <c r="D30" s="11" t="n">
        <v>20</v>
      </c>
      <c r="E30" s="12">
        <f>$D30*Assumptions!$B$5</f>
        <v/>
      </c>
      <c r="F30" s="13">
        <f>IFERROR($B30/$E30,0)</f>
        <v/>
      </c>
      <c r="G30" s="11" t="inlineStr">
        <is>
          <t>3 on 31 Oct</t>
        </is>
      </c>
    </row>
    <row r="31">
      <c r="A31" s="10" t="inlineStr">
        <is>
          <t>Adorjan Fritz</t>
        </is>
      </c>
      <c r="B31" s="12">
        <f>SUMIFS(Detail!$G$4:$G$180,Detail!$A$4:$A$180,$A$2,Detail!$B$4:$B$180,$A31)</f>
        <v/>
      </c>
      <c r="C31" s="12">
        <f>IFERROR($B31/Assumptions!$B$5,0)</f>
        <v/>
      </c>
      <c r="D31" s="11" t="n">
        <v>16</v>
      </c>
      <c r="E31" s="12">
        <f>$D31*Assumptions!$B$5</f>
        <v/>
      </c>
      <c r="F31" s="13">
        <f>IFERROR($B31/$E31,0)</f>
        <v/>
      </c>
      <c r="G31" s="11" t="inlineStr">
        <is>
          <t>4 on 31 Oct</t>
        </is>
      </c>
    </row>
    <row r="32">
      <c r="A32" s="10" t="inlineStr">
        <is>
          <t>Julian Mulder</t>
        </is>
      </c>
      <c r="B32" s="12">
        <f>SUMIFS(Detail!$G$4:$G$180,Detail!$A$4:$A$180,$A$2,Detail!$B$4:$B$180,$A32)</f>
        <v/>
      </c>
      <c r="C32" s="12">
        <f>IFERROR($B32/Assumptions!$B$5,0)</f>
        <v/>
      </c>
      <c r="D32" s="11" t="n">
        <v>23</v>
      </c>
      <c r="E32" s="12">
        <f>$D32*Assumptions!$B$5</f>
        <v/>
      </c>
      <c r="F32" s="13">
        <f>IFERROR($B32/$E32,0)</f>
        <v/>
      </c>
      <c r="G32" s="11" t="inlineStr">
        <is>
          <t>5 on 22 Oct</t>
        </is>
      </c>
    </row>
    <row r="33">
      <c r="A33" s="10" t="inlineStr">
        <is>
          <t>Prabhukiran Narava</t>
        </is>
      </c>
      <c r="B33" s="12">
        <f>SUMIFS(Detail!$G$4:$G$180,Detail!$A$4:$A$180,$A$2,Detail!$B$4:$B$180,$A33)</f>
        <v/>
      </c>
      <c r="C33" s="12">
        <f>IFERROR($B33/Assumptions!$B$5,0)</f>
        <v/>
      </c>
      <c r="D33" s="11" t="n">
        <v>23</v>
      </c>
      <c r="E33" s="12">
        <f>$D33*Assumptions!$B$5</f>
        <v/>
      </c>
      <c r="F33" s="13">
        <f>IFERROR($B33/$E33,0)</f>
        <v/>
      </c>
      <c r="G33" s="11" t="inlineStr">
        <is>
          <t>5 on 10 Oct</t>
        </is>
      </c>
    </row>
    <row r="34">
      <c r="A34" s="10" t="inlineStr">
        <is>
          <t>Sanjay Chaudhary</t>
        </is>
      </c>
      <c r="B34" s="12">
        <f>SUMIFS(Detail!$G$4:$G$180,Detail!$A$4:$A$180,$A$2,Detail!$B$4:$B$180,$A34)</f>
        <v/>
      </c>
      <c r="C34" s="12">
        <f>IFERROR($B34/Assumptions!$B$5,0)</f>
        <v/>
      </c>
      <c r="D34" s="11" t="n">
        <v>23</v>
      </c>
      <c r="E34" s="12">
        <f>$D34*Assumptions!$B$5</f>
        <v/>
      </c>
      <c r="F34" s="13">
        <f>IFERROR($B34/$E34,0)</f>
        <v/>
      </c>
      <c r="G34" s="11" t="inlineStr">
        <is>
          <t>11 on 01 Oct</t>
        </is>
      </c>
    </row>
    <row r="35">
      <c r="A35" s="10" t="inlineStr">
        <is>
          <t>Nikolay Antonov</t>
        </is>
      </c>
      <c r="B35" s="12">
        <f>SUMIFS(Detail!$G$4:$G$180,Detail!$A$4:$A$180,$A$2,Detail!$B$4:$B$180,$A35)</f>
        <v/>
      </c>
      <c r="C35" s="12">
        <f>IFERROR($B35/Assumptions!$B$5,0)</f>
        <v/>
      </c>
      <c r="D35" s="11" t="n">
        <v>23</v>
      </c>
      <c r="E35" s="12">
        <f>$D35*Assumptions!$B$5</f>
        <v/>
      </c>
      <c r="F35" s="13">
        <f>IFERROR($B35/$E35,0)</f>
        <v/>
      </c>
      <c r="G35" s="11" t="inlineStr">
        <is>
          <t>7 on 27 Oct</t>
        </is>
      </c>
    </row>
    <row r="36">
      <c r="A36" s="3" t="inlineStr">
        <is>
          <t>TOTAL</t>
        </is>
      </c>
      <c r="B36" s="15">
        <f>SUM(B28:B35)</f>
        <v/>
      </c>
      <c r="C36" s="15">
        <f>SUM(C28:C35)</f>
        <v/>
      </c>
      <c r="D36" s="15">
        <f>SUM(D28:D35)</f>
        <v/>
      </c>
      <c r="E36" s="15">
        <f>SUM(E28:E35)</f>
        <v/>
      </c>
      <c r="F36" s="16">
        <f>IFERROR($B36/$E36,0)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Ikigai — WBSO hours, 2025-10</t>
        </is>
      </c>
    </row>
    <row r="2">
      <c r="A2" s="5" t="inlineStr">
        <is>
          <t>Team Ikigai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borys.rudenko</t>
        </is>
      </c>
      <c r="B5" s="10" t="inlineStr">
        <is>
          <t>SDO-7745</t>
        </is>
      </c>
      <c r="C5" s="10" t="inlineStr">
        <is>
          <t>SDO-7745 UnstructuredRemittanceInformation</t>
        </is>
      </c>
      <c r="D5" s="12">
        <f>SUMIFS(Detail!$G$4:$G$180,Detail!$A$4:$A$180,$A$2,Detail!$B$4:$B$180,$A5,Detail!$C$4:$C$180,$B5)</f>
        <v/>
      </c>
    </row>
    <row r="6">
      <c r="A6" s="10" t="inlineStr">
        <is>
          <t>Diego Silva</t>
        </is>
      </c>
      <c r="B6" s="10" t="inlineStr">
        <is>
          <t>SPD-2749</t>
        </is>
      </c>
      <c r="C6" s="10" t="inlineStr">
        <is>
          <t>SPD-2749 VoP Data Hosting Ingester v1</t>
        </is>
      </c>
      <c r="D6" s="12">
        <f>SUMIFS(Detail!$G$4:$G$180,Detail!$A$4:$A$180,$A$2,Detail!$B$4:$B$180,$A6,Detail!$C$4:$C$180,$B6)</f>
        <v/>
      </c>
    </row>
    <row r="7">
      <c r="A7" s="10" t="inlineStr">
        <is>
          <t>Sridhar Gnanasekaran</t>
        </is>
      </c>
      <c r="B7" s="10" t="inlineStr">
        <is>
          <t>SPD-2834</t>
        </is>
      </c>
      <c r="C7" s="10" t="inlineStr">
        <is>
          <t>SPD-2834 VoP Data Hosting Iteration 2</t>
        </is>
      </c>
      <c r="D7" s="12">
        <f>SUMIFS(Detail!$G$4:$G$180,Detail!$A$4:$A$180,$A$2,Detail!$B$4:$B$180,$A7,Detail!$C$4:$C$180,$B7)</f>
        <v/>
      </c>
    </row>
    <row r="8">
      <c r="A8" s="10" t="inlineStr">
        <is>
          <t>Keerthi Shankar</t>
        </is>
      </c>
      <c r="B8" s="10" t="inlineStr">
        <is>
          <t>SPD-3012</t>
        </is>
      </c>
      <c r="C8" s="10" t="inlineStr">
        <is>
          <t>SPD-3012 VoP Bulk Checker Iteration 2</t>
        </is>
      </c>
      <c r="D8" s="12">
        <f>SUMIFS(Detail!$G$4:$G$180,Detail!$A$4:$A$180,$A$2,Detail!$B$4:$B$180,$A8,Detail!$C$4:$C$180,$B8)</f>
        <v/>
      </c>
    </row>
    <row r="9">
      <c r="A9" s="10" t="inlineStr">
        <is>
          <t>Keerthi Shankar</t>
        </is>
      </c>
      <c r="B9" s="10" t="inlineStr">
        <is>
          <t>SPD-3341</t>
        </is>
      </c>
      <c r="C9" s="10" t="inlineStr">
        <is>
          <t>SPD-3341 VoP Data Hosting</t>
        </is>
      </c>
      <c r="D9" s="12">
        <f>SUMIFS(Detail!$G$4:$G$180,Detail!$A$4:$A$180,$A$2,Detail!$B$4:$B$180,$A9,Detail!$C$4:$C$180,$B9)</f>
        <v/>
      </c>
    </row>
    <row r="10">
      <c r="A10" s="10" t="inlineStr">
        <is>
          <t>Keerthi Shankar</t>
        </is>
      </c>
      <c r="B10" s="10" t="inlineStr">
        <is>
          <t>SPD-3368</t>
        </is>
      </c>
      <c r="C10" s="10" t="inlineStr">
        <is>
          <t>SPD-3368 VoP Bulk Checker v1.1</t>
        </is>
      </c>
      <c r="D10" s="12">
        <f>SUMIFS(Detail!$G$4:$G$180,Detail!$A$4:$A$180,$A$2,Detail!$B$4:$B$180,$A10,Detail!$C$4:$C$180,$B10)</f>
        <v/>
      </c>
    </row>
    <row r="11">
      <c r="A11" s="10" t="inlineStr">
        <is>
          <t>Keerthi Shankar</t>
        </is>
      </c>
      <c r="B11" s="10" t="inlineStr">
        <is>
          <t>SPD-3381</t>
        </is>
      </c>
      <c r="C11" s="10" t="inlineStr">
        <is>
          <t>SPD-3381 Multi Region</t>
        </is>
      </c>
      <c r="D11" s="12">
        <f>SUMIFS(Detail!$G$4:$G$180,Detail!$A$4:$A$180,$A$2,Detail!$B$4:$B$180,$A11,Detail!$C$4:$C$180,$B11)</f>
        <v/>
      </c>
    </row>
    <row r="12">
      <c r="A12" s="10" t="inlineStr">
        <is>
          <t>Chaitanya Sagi</t>
        </is>
      </c>
      <c r="B12" s="10" t="inlineStr">
        <is>
          <t>SPD-3012</t>
        </is>
      </c>
      <c r="C12" s="10" t="inlineStr">
        <is>
          <t>SPD-3012 VoP Bulk Checker Iteration 2</t>
        </is>
      </c>
      <c r="D12" s="12">
        <f>SUMIFS(Detail!$G$4:$G$180,Detail!$A$4:$A$180,$A$2,Detail!$B$4:$B$180,$A12,Detail!$C$4:$C$180,$B12)</f>
        <v/>
      </c>
    </row>
    <row r="13">
      <c r="A13" s="10" t="inlineStr">
        <is>
          <t>Chaitanya Sagi</t>
        </is>
      </c>
      <c r="B13" s="10" t="inlineStr">
        <is>
          <t>SPD-3381</t>
        </is>
      </c>
      <c r="C13" s="10" t="inlineStr">
        <is>
          <t>SPD-3381 Multi Region</t>
        </is>
      </c>
      <c r="D13" s="12">
        <f>SUMIFS(Detail!$G$4:$G$180,Detail!$A$4:$A$180,$A$2,Detail!$B$4:$B$180,$A13,Detail!$C$4:$C$180,$B13)</f>
        <v/>
      </c>
    </row>
    <row r="14">
      <c r="A14" s="10" t="inlineStr">
        <is>
          <t>Gerard Veldman</t>
        </is>
      </c>
      <c r="B14" s="10" t="inlineStr">
        <is>
          <t>SPD-1732</t>
        </is>
      </c>
      <c r="C14" s="10" t="inlineStr">
        <is>
          <t>SPD-1732 Corporate Bulk Checker</t>
        </is>
      </c>
      <c r="D14" s="12">
        <f>SUMIFS(Detail!$G$4:$G$180,Detail!$A$4:$A$180,$A$2,Detail!$B$4:$B$180,$A14,Detail!$C$4:$C$180,$B14)</f>
        <v/>
      </c>
    </row>
    <row r="15">
      <c r="A15" s="10" t="inlineStr">
        <is>
          <t>Gerard Veldman</t>
        </is>
      </c>
      <c r="B15" s="10" t="inlineStr">
        <is>
          <t>SPD-3012</t>
        </is>
      </c>
      <c r="C15" s="10" t="inlineStr">
        <is>
          <t>SPD-3012 VoP Bulk Checker Iteration 2</t>
        </is>
      </c>
      <c r="D15" s="12">
        <f>SUMIFS(Detail!$G$4:$G$180,Detail!$A$4:$A$180,$A$2,Detail!$B$4:$B$180,$A15,Detail!$C$4:$C$180,$B15)</f>
        <v/>
      </c>
    </row>
    <row r="16">
      <c r="A16" s="10" t="inlineStr">
        <is>
          <t>Gerard Veldman</t>
        </is>
      </c>
      <c r="B16" s="10" t="inlineStr">
        <is>
          <t>SPD-3236</t>
        </is>
      </c>
      <c r="C16" s="10" t="inlineStr">
        <is>
          <t>SPD-3236 VoP Bulk Checker performance improvement</t>
        </is>
      </c>
      <c r="D16" s="12">
        <f>SUMIFS(Detail!$G$4:$G$180,Detail!$A$4:$A$180,$A$2,Detail!$B$4:$B$180,$A16,Detail!$C$4:$C$180,$B16)</f>
        <v/>
      </c>
    </row>
    <row r="17">
      <c r="A17" s="10" t="inlineStr">
        <is>
          <t>Juanma Tastzian</t>
        </is>
      </c>
      <c r="B17" s="10" t="inlineStr">
        <is>
          <t>SDO-7526</t>
        </is>
      </c>
      <c r="C17" s="10" t="inlineStr">
        <is>
          <t>SDO-7526 VOP Algorithm Improvements</t>
        </is>
      </c>
      <c r="D17" s="12">
        <f>SUMIFS(Detail!$G$4:$G$180,Detail!$A$4:$A$180,$A$2,Detail!$B$4:$B$180,$A17,Detail!$C$4:$C$180,$B17)</f>
        <v/>
      </c>
    </row>
    <row r="18">
      <c r="A18" s="10" t="inlineStr">
        <is>
          <t>Juanma Tastzian</t>
        </is>
      </c>
      <c r="B18" s="10" t="inlineStr">
        <is>
          <t>SDO-7745</t>
        </is>
      </c>
      <c r="C18" s="10" t="inlineStr">
        <is>
          <t>SDO-7745 UnstructuredRemittanceInformation</t>
        </is>
      </c>
      <c r="D18" s="12">
        <f>SUMIFS(Detail!$G$4:$G$180,Detail!$A$4:$A$180,$A$2,Detail!$B$4:$B$180,$A18,Detail!$C$4:$C$180,$B18)</f>
        <v/>
      </c>
    </row>
    <row r="19">
      <c r="A19" s="10" t="inlineStr">
        <is>
          <t>Juanma Tastzian</t>
        </is>
      </c>
      <c r="B19" s="10" t="inlineStr">
        <is>
          <t>SPD-2834</t>
        </is>
      </c>
      <c r="C19" s="10" t="inlineStr">
        <is>
          <t>SPD-2834 VoP Data Hosting Iteration 2</t>
        </is>
      </c>
      <c r="D19" s="12">
        <f>SUMIFS(Detail!$G$4:$G$180,Detail!$A$4:$A$180,$A$2,Detail!$B$4:$B$180,$A19,Detail!$C$4:$C$180,$B19)</f>
        <v/>
      </c>
    </row>
    <row r="20">
      <c r="A20" s="10" t="inlineStr">
        <is>
          <t>Manali Shah</t>
        </is>
      </c>
      <c r="B20" s="10" t="inlineStr">
        <is>
          <t>SPD-2749</t>
        </is>
      </c>
      <c r="C20" s="10" t="inlineStr">
        <is>
          <t>SPD-2749 VoP Data Hosting Ingester v1</t>
        </is>
      </c>
      <c r="D20" s="12">
        <f>SUMIFS(Detail!$G$4:$G$180,Detail!$A$4:$A$180,$A$2,Detail!$B$4:$B$180,$A20,Detail!$C$4:$C$180,$B20)</f>
        <v/>
      </c>
    </row>
    <row r="21">
      <c r="A21" s="10" t="inlineStr">
        <is>
          <t>Manali Shah</t>
        </is>
      </c>
      <c r="B21" s="10" t="inlineStr">
        <is>
          <t>SPD-2834</t>
        </is>
      </c>
      <c r="C21" s="10" t="inlineStr">
        <is>
          <t>SPD-2834 VoP Data Hosting Iteration 2</t>
        </is>
      </c>
      <c r="D21" s="12">
        <f>SUMIFS(Detail!$G$4:$G$180,Detail!$A$4:$A$180,$A$2,Detail!$B$4:$B$180,$A21,Detail!$C$4:$C$180,$B21)</f>
        <v/>
      </c>
    </row>
    <row r="22">
      <c r="A22" s="10" t="inlineStr">
        <is>
          <t>Manali Shah</t>
        </is>
      </c>
      <c r="B22" s="10" t="inlineStr">
        <is>
          <t>SPD-3341</t>
        </is>
      </c>
      <c r="C22" s="10" t="inlineStr">
        <is>
          <t>SPD-3341 VoP Data Hosting</t>
        </is>
      </c>
      <c r="D22" s="12">
        <f>SUMIFS(Detail!$G$4:$G$180,Detail!$A$4:$A$180,$A$2,Detail!$B$4:$B$180,$A22,Detail!$C$4:$C$180,$B22)</f>
        <v/>
      </c>
    </row>
    <row r="23">
      <c r="A23" s="10" t="inlineStr">
        <is>
          <t>Tjibbe van Wier</t>
        </is>
      </c>
      <c r="B23" s="10" t="inlineStr">
        <is>
          <t>SPD-3094</t>
        </is>
      </c>
      <c r="C23" s="10" t="inlineStr">
        <is>
          <t>SPD-3094 VoP Algorithm IPR Ready</t>
        </is>
      </c>
      <c r="D23" s="12">
        <f>SUMIFS(Detail!$G$4:$G$180,Detail!$A$4:$A$180,$A$2,Detail!$B$4:$B$180,$A23,Detail!$C$4:$C$180,$B23)</f>
        <v/>
      </c>
    </row>
    <row r="24">
      <c r="A24" s="17" t="n"/>
      <c r="B24" s="17" t="n"/>
      <c r="C24" s="18" t="inlineStr">
        <is>
          <t>TEAM TOTAL</t>
        </is>
      </c>
      <c r="D24" s="19">
        <f>SUM(D5:D23)</f>
        <v/>
      </c>
    </row>
    <row r="27">
      <c r="A27" s="6" t="inlineStr">
        <is>
          <t>Per engineer</t>
        </is>
      </c>
    </row>
    <row r="28">
      <c r="A28" s="9" t="inlineStr">
        <is>
          <t>Engineer</t>
        </is>
      </c>
      <c r="B28" s="9" t="inlineStr">
        <is>
          <t>WBSO hours</t>
        </is>
      </c>
      <c r="C28" s="9" t="inlineStr">
        <is>
          <t>Day equivalent</t>
        </is>
      </c>
      <c r="D28" s="9" t="inlineStr">
        <is>
          <t>Active days</t>
        </is>
      </c>
      <c r="E28" s="9" t="inlineStr">
        <is>
          <t>Capacity hours</t>
        </is>
      </c>
      <c r="F28" s="9" t="inlineStr">
        <is>
          <t>WBSO share</t>
        </is>
      </c>
      <c r="G28" s="9" t="inlineStr">
        <is>
          <t>Peak tickets/day</t>
        </is>
      </c>
    </row>
    <row r="29">
      <c r="A29" s="10" t="inlineStr">
        <is>
          <t>borys.rudenko</t>
        </is>
      </c>
      <c r="B29" s="12">
        <f>SUMIFS(Detail!$G$4:$G$180,Detail!$A$4:$A$180,$A$2,Detail!$B$4:$B$180,$A29)</f>
        <v/>
      </c>
      <c r="C29" s="12">
        <f>IFERROR($B29/Assumptions!$B$5,0)</f>
        <v/>
      </c>
      <c r="D29" s="11" t="n">
        <v>23</v>
      </c>
      <c r="E29" s="12">
        <f>$D29*Assumptions!$B$5</f>
        <v/>
      </c>
      <c r="F29" s="13">
        <f>IFERROR($B29/$E29,0)</f>
        <v/>
      </c>
      <c r="G29" s="11" t="inlineStr">
        <is>
          <t>5 on 20 Oct</t>
        </is>
      </c>
    </row>
    <row r="30">
      <c r="A30" s="10" t="inlineStr">
        <is>
          <t>Diego Silva</t>
        </is>
      </c>
      <c r="B30" s="12">
        <f>SUMIFS(Detail!$G$4:$G$180,Detail!$A$4:$A$180,$A$2,Detail!$B$4:$B$180,$A30)</f>
        <v/>
      </c>
      <c r="C30" s="12">
        <f>IFERROR($B30/Assumptions!$B$5,0)</f>
        <v/>
      </c>
      <c r="D30" s="11" t="n">
        <v>23</v>
      </c>
      <c r="E30" s="12">
        <f>$D30*Assumptions!$B$5</f>
        <v/>
      </c>
      <c r="F30" s="13">
        <f>IFERROR($B30/$E30,0)</f>
        <v/>
      </c>
      <c r="G30" s="11" t="inlineStr">
        <is>
          <t>1 on 01 Oct</t>
        </is>
      </c>
    </row>
    <row r="31">
      <c r="A31" s="10" t="inlineStr">
        <is>
          <t>Sridhar Gnanasekaran</t>
        </is>
      </c>
      <c r="B31" s="12">
        <f>SUMIFS(Detail!$G$4:$G$180,Detail!$A$4:$A$180,$A$2,Detail!$B$4:$B$180,$A31)</f>
        <v/>
      </c>
      <c r="C31" s="12">
        <f>IFERROR($B31/Assumptions!$B$5,0)</f>
        <v/>
      </c>
      <c r="D31" s="11" t="n">
        <v>15</v>
      </c>
      <c r="E31" s="12">
        <f>$D31*Assumptions!$B$5</f>
        <v/>
      </c>
      <c r="F31" s="13">
        <f>IFERROR($B31/$E31,0)</f>
        <v/>
      </c>
      <c r="G31" s="11" t="inlineStr">
        <is>
          <t>1 on 01 Oct</t>
        </is>
      </c>
    </row>
    <row r="32">
      <c r="A32" s="10" t="inlineStr">
        <is>
          <t>Keerthi Shankar</t>
        </is>
      </c>
      <c r="B32" s="12">
        <f>SUMIFS(Detail!$G$4:$G$180,Detail!$A$4:$A$180,$A$2,Detail!$B$4:$B$180,$A32)</f>
        <v/>
      </c>
      <c r="C32" s="12">
        <f>IFERROR($B32/Assumptions!$B$5,0)</f>
        <v/>
      </c>
      <c r="D32" s="11" t="n">
        <v>20</v>
      </c>
      <c r="E32" s="12">
        <f>$D32*Assumptions!$B$5</f>
        <v/>
      </c>
      <c r="F32" s="13">
        <f>IFERROR($B32/$E32,0)</f>
        <v/>
      </c>
      <c r="G32" s="11" t="inlineStr">
        <is>
          <t>4 on 27 Oct</t>
        </is>
      </c>
    </row>
    <row r="33">
      <c r="A33" s="10" t="inlineStr">
        <is>
          <t>Chaitanya Sagi</t>
        </is>
      </c>
      <c r="B33" s="12">
        <f>SUMIFS(Detail!$G$4:$G$180,Detail!$A$4:$A$180,$A$2,Detail!$B$4:$B$180,$A33)</f>
        <v/>
      </c>
      <c r="C33" s="12">
        <f>IFERROR($B33/Assumptions!$B$5,0)</f>
        <v/>
      </c>
      <c r="D33" s="11" t="n">
        <v>20</v>
      </c>
      <c r="E33" s="12">
        <f>$D33*Assumptions!$B$5</f>
        <v/>
      </c>
      <c r="F33" s="13">
        <f>IFERROR($B33/$E33,0)</f>
        <v/>
      </c>
      <c r="G33" s="11" t="inlineStr">
        <is>
          <t>5 on 06 Oct</t>
        </is>
      </c>
    </row>
    <row r="34">
      <c r="A34" s="10" t="inlineStr">
        <is>
          <t>Gerard Veldman</t>
        </is>
      </c>
      <c r="B34" s="12">
        <f>SUMIFS(Detail!$G$4:$G$180,Detail!$A$4:$A$180,$A$2,Detail!$B$4:$B$180,$A34)</f>
        <v/>
      </c>
      <c r="C34" s="12">
        <f>IFERROR($B34/Assumptions!$B$5,0)</f>
        <v/>
      </c>
      <c r="D34" s="11" t="n">
        <v>23</v>
      </c>
      <c r="E34" s="12">
        <f>$D34*Assumptions!$B$5</f>
        <v/>
      </c>
      <c r="F34" s="13">
        <f>IFERROR($B34/$E34,0)</f>
        <v/>
      </c>
      <c r="G34" s="11" t="inlineStr">
        <is>
          <t>8 on 09 Oct</t>
        </is>
      </c>
    </row>
    <row r="35">
      <c r="A35" s="10" t="inlineStr">
        <is>
          <t>Juanma Tastzian</t>
        </is>
      </c>
      <c r="B35" s="12">
        <f>SUMIFS(Detail!$G$4:$G$180,Detail!$A$4:$A$180,$A$2,Detail!$B$4:$B$180,$A35)</f>
        <v/>
      </c>
      <c r="C35" s="12">
        <f>IFERROR($B35/Assumptions!$B$5,0)</f>
        <v/>
      </c>
      <c r="D35" s="11" t="n">
        <v>19</v>
      </c>
      <c r="E35" s="12">
        <f>$D35*Assumptions!$B$5</f>
        <v/>
      </c>
      <c r="F35" s="13">
        <f>IFERROR($B35/$E35,0)</f>
        <v/>
      </c>
      <c r="G35" s="11" t="inlineStr">
        <is>
          <t>2 on 01 Oct</t>
        </is>
      </c>
    </row>
    <row r="36">
      <c r="A36" s="10" t="inlineStr">
        <is>
          <t>Manali Shah</t>
        </is>
      </c>
      <c r="B36" s="12">
        <f>SUMIFS(Detail!$G$4:$G$180,Detail!$A$4:$A$180,$A$2,Detail!$B$4:$B$180,$A36)</f>
        <v/>
      </c>
      <c r="C36" s="12">
        <f>IFERROR($B36/Assumptions!$B$5,0)</f>
        <v/>
      </c>
      <c r="D36" s="11" t="n">
        <v>18</v>
      </c>
      <c r="E36" s="12">
        <f>$D36*Assumptions!$B$5</f>
        <v/>
      </c>
      <c r="F36" s="13">
        <f>IFERROR($B36/$E36,0)</f>
        <v/>
      </c>
      <c r="G36" s="11" t="inlineStr">
        <is>
          <t>4 on 07 Oct</t>
        </is>
      </c>
    </row>
    <row r="37">
      <c r="A37" s="10" t="inlineStr">
        <is>
          <t>Tjibbe van Wier</t>
        </is>
      </c>
      <c r="B37" s="12">
        <f>SUMIFS(Detail!$G$4:$G$180,Detail!$A$4:$A$180,$A$2,Detail!$B$4:$B$180,$A37)</f>
        <v/>
      </c>
      <c r="C37" s="12">
        <f>IFERROR($B37/Assumptions!$B$5,0)</f>
        <v/>
      </c>
      <c r="D37" s="11" t="n">
        <v>4</v>
      </c>
      <c r="E37" s="12">
        <f>$D37*Assumptions!$B$5</f>
        <v/>
      </c>
      <c r="F37" s="13">
        <f>IFERROR($B37/$E37,0)</f>
        <v/>
      </c>
      <c r="G37" s="11" t="inlineStr">
        <is>
          <t>1 on 01 Oct</t>
        </is>
      </c>
    </row>
    <row r="38">
      <c r="A38" s="3" t="inlineStr">
        <is>
          <t>TOTAL</t>
        </is>
      </c>
      <c r="B38" s="15">
        <f>SUM(B29:B37)</f>
        <v/>
      </c>
      <c r="C38" s="15">
        <f>SUM(C29:C37)</f>
        <v/>
      </c>
      <c r="D38" s="15">
        <f>SUM(D29:D37)</f>
        <v/>
      </c>
      <c r="E38" s="15">
        <f>SUM(E29:E37)</f>
        <v/>
      </c>
      <c r="F38" s="16">
        <f>IFERROR($B38/$E38,0)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Samba — WBSO hours, 2025-10</t>
        </is>
      </c>
    </row>
    <row r="2">
      <c r="A2" s="5" t="inlineStr">
        <is>
          <t>Team Samba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Sheik Farzand Razi</t>
        </is>
      </c>
      <c r="B5" s="10" t="inlineStr">
        <is>
          <t>SDO-4324</t>
        </is>
      </c>
      <c r="C5" s="10" t="inlineStr">
        <is>
          <t>SDO-4324 SWIFT Outbound/Inbound</t>
        </is>
      </c>
      <c r="D5" s="12">
        <f>SUMIFS(Detail!$G$4:$G$180,Detail!$A$4:$A$180,$A$2,Detail!$B$4:$B$180,$A5,Detail!$C$4:$C$180,$B5)</f>
        <v/>
      </c>
    </row>
    <row r="6">
      <c r="A6" s="10" t="inlineStr">
        <is>
          <t>Sheik Farzand Razi</t>
        </is>
      </c>
      <c r="B6" s="10" t="inlineStr">
        <is>
          <t>SDO-7622</t>
        </is>
      </c>
      <c r="C6" s="10" t="inlineStr">
        <is>
          <t>SDO-7622 VOP Performance investigation</t>
        </is>
      </c>
      <c r="D6" s="12">
        <f>SUMIFS(Detail!$G$4:$G$180,Detail!$A$4:$A$180,$A$2,Detail!$B$4:$B$180,$A6,Detail!$C$4:$C$180,$B6)</f>
        <v/>
      </c>
    </row>
    <row r="7">
      <c r="A7" s="10" t="inlineStr">
        <is>
          <t>Sheik Farzand Razi</t>
        </is>
      </c>
      <c r="B7" s="10" t="inlineStr">
        <is>
          <t>SDO-7680</t>
        </is>
      </c>
      <c r="C7" s="10" t="inlineStr">
        <is>
          <t>SDO-7680 Multi region</t>
        </is>
      </c>
      <c r="D7" s="12">
        <f>SUMIFS(Detail!$G$4:$G$180,Detail!$A$4:$A$180,$A$2,Detail!$B$4:$B$180,$A7,Detail!$C$4:$C$180,$B7)</f>
        <v/>
      </c>
    </row>
    <row r="8">
      <c r="A8" s="10" t="inlineStr">
        <is>
          <t>Orwa Badran</t>
        </is>
      </c>
      <c r="B8" s="10" t="inlineStr">
        <is>
          <t>SDO-7438</t>
        </is>
      </c>
      <c r="C8" s="10" t="inlineStr">
        <is>
          <t>SDO-7438 VOP Gateway - Enhancements</t>
        </is>
      </c>
      <c r="D8" s="12">
        <f>SUMIFS(Detail!$G$4:$G$180,Detail!$A$4:$A$180,$A$2,Detail!$B$4:$B$180,$A8,Detail!$C$4:$C$180,$B8)</f>
        <v/>
      </c>
    </row>
    <row r="9">
      <c r="A9" s="10" t="inlineStr">
        <is>
          <t>Orwa Badran</t>
        </is>
      </c>
      <c r="B9" s="10" t="inlineStr">
        <is>
          <t>SDO-7622</t>
        </is>
      </c>
      <c r="C9" s="10" t="inlineStr">
        <is>
          <t>SDO-7622 VOP Performance investigation</t>
        </is>
      </c>
      <c r="D9" s="12">
        <f>SUMIFS(Detail!$G$4:$G$180,Detail!$A$4:$A$180,$A$2,Detail!$B$4:$B$180,$A9,Detail!$C$4:$C$180,$B9)</f>
        <v/>
      </c>
    </row>
    <row r="10">
      <c r="A10" s="10" t="inlineStr">
        <is>
          <t>Muhammad Sulaiman</t>
        </is>
      </c>
      <c r="B10" s="10" t="inlineStr">
        <is>
          <t>SDO-5021</t>
        </is>
      </c>
      <c r="C10" s="10" t="inlineStr">
        <is>
          <t xml:space="preserve">SDO-5021 Service Improvements </t>
        </is>
      </c>
      <c r="D10" s="12">
        <f>SUMIFS(Detail!$G$4:$G$180,Detail!$A$4:$A$180,$A$2,Detail!$B$4:$B$180,$A10,Detail!$C$4:$C$180,$B10)</f>
        <v/>
      </c>
    </row>
    <row r="11">
      <c r="A11" s="10" t="inlineStr">
        <is>
          <t>Muhammad Sulaiman</t>
        </is>
      </c>
      <c r="B11" s="10" t="inlineStr">
        <is>
          <t>SDO-7622</t>
        </is>
      </c>
      <c r="C11" s="10" t="inlineStr">
        <is>
          <t>SDO-7622 VOP Performance investigation</t>
        </is>
      </c>
      <c r="D11" s="12">
        <f>SUMIFS(Detail!$G$4:$G$180,Detail!$A$4:$A$180,$A$2,Detail!$B$4:$B$180,$A11,Detail!$C$4:$C$180,$B11)</f>
        <v/>
      </c>
    </row>
    <row r="12">
      <c r="A12" s="10" t="inlineStr">
        <is>
          <t>Muhammad Sulaiman</t>
        </is>
      </c>
      <c r="B12" s="10" t="inlineStr">
        <is>
          <t>SDO-7680</t>
        </is>
      </c>
      <c r="C12" s="10" t="inlineStr">
        <is>
          <t>SDO-7680 Multi region</t>
        </is>
      </c>
      <c r="D12" s="12">
        <f>SUMIFS(Detail!$G$4:$G$180,Detail!$A$4:$A$180,$A$2,Detail!$B$4:$B$180,$A12,Detail!$C$4:$C$180,$B12)</f>
        <v/>
      </c>
    </row>
    <row r="13">
      <c r="A13" s="10" t="inlineStr">
        <is>
          <t>Mark Whitworth</t>
        </is>
      </c>
      <c r="B13" s="10" t="inlineStr">
        <is>
          <t>SDO-7622</t>
        </is>
      </c>
      <c r="C13" s="10" t="inlineStr">
        <is>
          <t>SDO-7622 VOP Performance investigation</t>
        </is>
      </c>
      <c r="D13" s="12">
        <f>SUMIFS(Detail!$G$4:$G$180,Detail!$A$4:$A$180,$A$2,Detail!$B$4:$B$180,$A13,Detail!$C$4:$C$180,$B13)</f>
        <v/>
      </c>
    </row>
    <row r="14">
      <c r="A14" s="10" t="inlineStr">
        <is>
          <t>Mark Whitworth</t>
        </is>
      </c>
      <c r="B14" s="10" t="inlineStr">
        <is>
          <t>SDO-7634</t>
        </is>
      </c>
      <c r="C14" s="10" t="inlineStr">
        <is>
          <t>SDO-7634 BIC Enrichment</t>
        </is>
      </c>
      <c r="D14" s="12">
        <f>SUMIFS(Detail!$G$4:$G$180,Detail!$A$4:$A$180,$A$2,Detail!$B$4:$B$180,$A14,Detail!$C$4:$C$180,$B14)</f>
        <v/>
      </c>
    </row>
    <row r="15">
      <c r="A15" s="10" t="inlineStr">
        <is>
          <t>Mark Whitworth</t>
        </is>
      </c>
      <c r="B15" s="10" t="inlineStr">
        <is>
          <t>SDO-7907</t>
        </is>
      </c>
      <c r="C15" s="10" t="inlineStr">
        <is>
          <t>SDO-7907 Corporate checks via VOP (MVP)</t>
        </is>
      </c>
      <c r="D15" s="12">
        <f>SUMIFS(Detail!$G$4:$G$180,Detail!$A$4:$A$180,$A$2,Detail!$B$4:$B$180,$A15,Detail!$C$4:$C$180,$B15)</f>
        <v/>
      </c>
    </row>
    <row r="16">
      <c r="A16" s="10" t="inlineStr">
        <is>
          <t>Ioannis Argyroulis</t>
        </is>
      </c>
      <c r="B16" s="10" t="inlineStr">
        <is>
          <t>SDO-5021</t>
        </is>
      </c>
      <c r="C16" s="10" t="inlineStr">
        <is>
          <t xml:space="preserve">SDO-5021 Service Improvements </t>
        </is>
      </c>
      <c r="D16" s="12">
        <f>SUMIFS(Detail!$G$4:$G$180,Detail!$A$4:$A$180,$A$2,Detail!$B$4:$B$180,$A16,Detail!$C$4:$C$180,$B16)</f>
        <v/>
      </c>
    </row>
    <row r="17">
      <c r="A17" s="10" t="inlineStr">
        <is>
          <t>Kumar Kannan</t>
        </is>
      </c>
      <c r="B17" s="10" t="inlineStr">
        <is>
          <t>SDO-7622</t>
        </is>
      </c>
      <c r="C17" s="10" t="inlineStr">
        <is>
          <t>SDO-7622 VOP Performance investigation</t>
        </is>
      </c>
      <c r="D17" s="12">
        <f>SUMIFS(Detail!$G$4:$G$180,Detail!$A$4:$A$180,$A$2,Detail!$B$4:$B$180,$A17,Detail!$C$4:$C$180,$B17)</f>
        <v/>
      </c>
    </row>
    <row r="18">
      <c r="A18" s="10" t="inlineStr">
        <is>
          <t>Kumar Kannan</t>
        </is>
      </c>
      <c r="B18" s="10" t="inlineStr">
        <is>
          <t>SDO-7680</t>
        </is>
      </c>
      <c r="C18" s="10" t="inlineStr">
        <is>
          <t>SDO-7680 Multi region</t>
        </is>
      </c>
      <c r="D18" s="12">
        <f>SUMIFS(Detail!$G$4:$G$180,Detail!$A$4:$A$180,$A$2,Detail!$B$4:$B$180,$A18,Detail!$C$4:$C$180,$B18)</f>
        <v/>
      </c>
    </row>
    <row r="19">
      <c r="A19" s="10" t="inlineStr">
        <is>
          <t>Ismail Kuyu</t>
        </is>
      </c>
      <c r="B19" s="10" t="inlineStr">
        <is>
          <t>SDO-7144</t>
        </is>
      </c>
      <c r="C19" s="10" t="inlineStr">
        <is>
          <t>SDO-7144 VoP Bank API extended</t>
        </is>
      </c>
      <c r="D19" s="12">
        <f>SUMIFS(Detail!$G$4:$G$180,Detail!$A$4:$A$180,$A$2,Detail!$B$4:$B$180,$A19,Detail!$C$4:$C$180,$B19)</f>
        <v/>
      </c>
    </row>
    <row r="20">
      <c r="A20" s="10" t="inlineStr">
        <is>
          <t>Ismail Kuyu</t>
        </is>
      </c>
      <c r="B20" s="10" t="inlineStr">
        <is>
          <t>SDO-7622</t>
        </is>
      </c>
      <c r="C20" s="10" t="inlineStr">
        <is>
          <t>SDO-7622 VOP Performance investigation</t>
        </is>
      </c>
      <c r="D20" s="12">
        <f>SUMIFS(Detail!$G$4:$G$180,Detail!$A$4:$A$180,$A$2,Detail!$B$4:$B$180,$A20,Detail!$C$4:$C$180,$B20)</f>
        <v/>
      </c>
    </row>
    <row r="21">
      <c r="A21" s="10" t="inlineStr">
        <is>
          <t>Ismail Kuyu</t>
        </is>
      </c>
      <c r="B21" s="10" t="inlineStr">
        <is>
          <t>SDO-7907</t>
        </is>
      </c>
      <c r="C21" s="10" t="inlineStr">
        <is>
          <t>SDO-7907 Corporate checks via VOP (MVP)</t>
        </is>
      </c>
      <c r="D21" s="12">
        <f>SUMIFS(Detail!$G$4:$G$180,Detail!$A$4:$A$180,$A$2,Detail!$B$4:$B$180,$A21,Detail!$C$4:$C$180,$B21)</f>
        <v/>
      </c>
    </row>
    <row r="22">
      <c r="A22" s="17" t="n"/>
      <c r="B22" s="17" t="n"/>
      <c r="C22" s="18" t="inlineStr">
        <is>
          <t>TEAM TOTAL</t>
        </is>
      </c>
      <c r="D22" s="19">
        <f>SUM(D5:D21)</f>
        <v/>
      </c>
    </row>
    <row r="25">
      <c r="A25" s="6" t="inlineStr">
        <is>
          <t>Per engineer</t>
        </is>
      </c>
    </row>
    <row r="26">
      <c r="A26" s="9" t="inlineStr">
        <is>
          <t>Engineer</t>
        </is>
      </c>
      <c r="B26" s="9" t="inlineStr">
        <is>
          <t>WBSO hours</t>
        </is>
      </c>
      <c r="C26" s="9" t="inlineStr">
        <is>
          <t>Day equivalent</t>
        </is>
      </c>
      <c r="D26" s="9" t="inlineStr">
        <is>
          <t>Active days</t>
        </is>
      </c>
      <c r="E26" s="9" t="inlineStr">
        <is>
          <t>Capacity hours</t>
        </is>
      </c>
      <c r="F26" s="9" t="inlineStr">
        <is>
          <t>WBSO share</t>
        </is>
      </c>
      <c r="G26" s="9" t="inlineStr">
        <is>
          <t>Peak tickets/day</t>
        </is>
      </c>
    </row>
    <row r="27">
      <c r="A27" s="10" t="inlineStr">
        <is>
          <t>Sheik Farzand Razi</t>
        </is>
      </c>
      <c r="B27" s="12">
        <f>SUMIFS(Detail!$G$4:$G$180,Detail!$A$4:$A$180,$A$2,Detail!$B$4:$B$180,$A27)</f>
        <v/>
      </c>
      <c r="C27" s="12">
        <f>IFERROR($B27/Assumptions!$B$5,0)</f>
        <v/>
      </c>
      <c r="D27" s="11" t="n">
        <v>23</v>
      </c>
      <c r="E27" s="12">
        <f>$D27*Assumptions!$B$5</f>
        <v/>
      </c>
      <c r="F27" s="13">
        <f>IFERROR($B27/$E27,0)</f>
        <v/>
      </c>
      <c r="G27" s="11" t="inlineStr">
        <is>
          <t>3 on 09 Oct</t>
        </is>
      </c>
    </row>
    <row r="28">
      <c r="A28" s="10" t="inlineStr">
        <is>
          <t>Orwa Badran</t>
        </is>
      </c>
      <c r="B28" s="12">
        <f>SUMIFS(Detail!$G$4:$G$180,Detail!$A$4:$A$180,$A$2,Detail!$B$4:$B$180,$A28)</f>
        <v/>
      </c>
      <c r="C28" s="12">
        <f>IFERROR($B28/Assumptions!$B$5,0)</f>
        <v/>
      </c>
      <c r="D28" s="11" t="n">
        <v>23</v>
      </c>
      <c r="E28" s="12">
        <f>$D28*Assumptions!$B$5</f>
        <v/>
      </c>
      <c r="F28" s="13">
        <f>IFERROR($B28/$E28,0)</f>
        <v/>
      </c>
      <c r="G28" s="11" t="inlineStr">
        <is>
          <t>9 on 01 Oct</t>
        </is>
      </c>
    </row>
    <row r="29">
      <c r="A29" s="10" t="inlineStr">
        <is>
          <t>Muhammad Sulaiman</t>
        </is>
      </c>
      <c r="B29" s="12">
        <f>SUMIFS(Detail!$G$4:$G$180,Detail!$A$4:$A$180,$A$2,Detail!$B$4:$B$180,$A29)</f>
        <v/>
      </c>
      <c r="C29" s="12">
        <f>IFERROR($B29/Assumptions!$B$5,0)</f>
        <v/>
      </c>
      <c r="D29" s="11" t="n">
        <v>23</v>
      </c>
      <c r="E29" s="12">
        <f>$D29*Assumptions!$B$5</f>
        <v/>
      </c>
      <c r="F29" s="13">
        <f>IFERROR($B29/$E29,0)</f>
        <v/>
      </c>
      <c r="G29" s="11" t="inlineStr">
        <is>
          <t>10 on 13 Oct</t>
        </is>
      </c>
    </row>
    <row r="30">
      <c r="A30" s="10" t="inlineStr">
        <is>
          <t>Mark Whitworth</t>
        </is>
      </c>
      <c r="B30" s="12">
        <f>SUMIFS(Detail!$G$4:$G$180,Detail!$A$4:$A$180,$A$2,Detail!$B$4:$B$180,$A30)</f>
        <v/>
      </c>
      <c r="C30" s="12">
        <f>IFERROR($B30/Assumptions!$B$5,0)</f>
        <v/>
      </c>
      <c r="D30" s="11" t="n">
        <v>6</v>
      </c>
      <c r="E30" s="12">
        <f>$D30*Assumptions!$B$5</f>
        <v/>
      </c>
      <c r="F30" s="13">
        <f>IFERROR($B30/$E30,0)</f>
        <v/>
      </c>
      <c r="G30" s="11" t="inlineStr">
        <is>
          <t>2 on 01 Oct</t>
        </is>
      </c>
    </row>
    <row r="31">
      <c r="A31" s="10" t="inlineStr">
        <is>
          <t>Ioannis Argyroulis</t>
        </is>
      </c>
      <c r="B31" s="12">
        <f>SUMIFS(Detail!$G$4:$G$180,Detail!$A$4:$A$180,$A$2,Detail!$B$4:$B$180,$A31)</f>
        <v/>
      </c>
      <c r="C31" s="12">
        <f>IFERROR($B31/Assumptions!$B$5,0)</f>
        <v/>
      </c>
      <c r="D31" s="11" t="n">
        <v>19</v>
      </c>
      <c r="E31" s="12">
        <f>$D31*Assumptions!$B$5</f>
        <v/>
      </c>
      <c r="F31" s="13">
        <f>IFERROR($B31/$E31,0)</f>
        <v/>
      </c>
      <c r="G31" s="11" t="inlineStr">
        <is>
          <t>3 on 14 Oct</t>
        </is>
      </c>
    </row>
    <row r="32">
      <c r="A32" s="10" t="inlineStr">
        <is>
          <t>Kumar Kannan</t>
        </is>
      </c>
      <c r="B32" s="12">
        <f>SUMIFS(Detail!$G$4:$G$180,Detail!$A$4:$A$180,$A$2,Detail!$B$4:$B$180,$A32)</f>
        <v/>
      </c>
      <c r="C32" s="12">
        <f>IFERROR($B32/Assumptions!$B$5,0)</f>
        <v/>
      </c>
      <c r="D32" s="11" t="n">
        <v>23</v>
      </c>
      <c r="E32" s="12">
        <f>$D32*Assumptions!$B$5</f>
        <v/>
      </c>
      <c r="F32" s="13">
        <f>IFERROR($B32/$E32,0)</f>
        <v/>
      </c>
      <c r="G32" s="11" t="inlineStr">
        <is>
          <t>10 on 01 Oct</t>
        </is>
      </c>
    </row>
    <row r="33">
      <c r="A33" s="10" t="inlineStr">
        <is>
          <t>Ismail Kuyu</t>
        </is>
      </c>
      <c r="B33" s="12">
        <f>SUMIFS(Detail!$G$4:$G$180,Detail!$A$4:$A$180,$A$2,Detail!$B$4:$B$180,$A33)</f>
        <v/>
      </c>
      <c r="C33" s="12">
        <f>IFERROR($B33/Assumptions!$B$5,0)</f>
        <v/>
      </c>
      <c r="D33" s="11" t="n">
        <v>23</v>
      </c>
      <c r="E33" s="12">
        <f>$D33*Assumptions!$B$5</f>
        <v/>
      </c>
      <c r="F33" s="13">
        <f>IFERROR($B33/$E33,0)</f>
        <v/>
      </c>
      <c r="G33" s="11" t="inlineStr">
        <is>
          <t>4 on 02 Oct</t>
        </is>
      </c>
    </row>
    <row r="34">
      <c r="A34" s="3" t="inlineStr">
        <is>
          <t>TOTAL</t>
        </is>
      </c>
      <c r="B34" s="15">
        <f>SUM(B27:B33)</f>
        <v/>
      </c>
      <c r="C34" s="15">
        <f>SUM(C27:C33)</f>
        <v/>
      </c>
      <c r="D34" s="15">
        <f>SUM(D27:D33)</f>
        <v/>
      </c>
      <c r="E34" s="15">
        <f>SUM(E27:E33)</f>
        <v/>
      </c>
      <c r="F34" s="16">
        <f>IFERROR($B34/$E34,0)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YODA — WBSO hours, 2025-10</t>
        </is>
      </c>
    </row>
    <row r="2">
      <c r="A2" s="5" t="inlineStr">
        <is>
          <t>YODA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Marin Onofrei</t>
        </is>
      </c>
      <c r="B5" s="10" t="inlineStr">
        <is>
          <t>YODA-1413</t>
        </is>
      </c>
      <c r="C5" s="10" t="inlineStr">
        <is>
          <t>YODA-1413 OPA VOP for JPM</t>
        </is>
      </c>
      <c r="D5" s="12">
        <f>SUMIFS(Detail!$G$4:$G$180,Detail!$A$4:$A$180,$A$2,Detail!$B$4:$B$180,$A5,Detail!$C$4:$C$180,$B5)</f>
        <v/>
      </c>
    </row>
    <row r="6">
      <c r="A6" s="10" t="inlineStr">
        <is>
          <t>Parth Mewada</t>
        </is>
      </c>
      <c r="B6" s="10" t="inlineStr">
        <is>
          <t>YODA-1429</t>
        </is>
      </c>
      <c r="C6" s="10" t="inlineStr">
        <is>
          <t>YODA-1429 [Audit] Backup strategy</t>
        </is>
      </c>
      <c r="D6" s="12">
        <f>SUMIFS(Detail!$G$4:$G$180,Detail!$A$4:$A$180,$A$2,Detail!$B$4:$B$180,$A6,Detail!$C$4:$C$180,$B6)</f>
        <v/>
      </c>
    </row>
    <row r="7">
      <c r="A7" s="10" t="inlineStr">
        <is>
          <t>Mitali Patil</t>
        </is>
      </c>
      <c r="B7" s="10" t="inlineStr">
        <is>
          <t>YODA-1672</t>
        </is>
      </c>
      <c r="C7" s="10" t="inlineStr">
        <is>
          <t>YODA-1672 Multi Region by Yoda</t>
        </is>
      </c>
      <c r="D7" s="12">
        <f>SUMIFS(Detail!$G$4:$G$180,Detail!$A$4:$A$180,$A$2,Detail!$B$4:$B$180,$A7,Detail!$C$4:$C$180,$B7)</f>
        <v/>
      </c>
    </row>
    <row r="8">
      <c r="A8" s="10" t="inlineStr">
        <is>
          <t>Shrikant Patil</t>
        </is>
      </c>
      <c r="B8" s="10" t="inlineStr">
        <is>
          <t>YODA-1413</t>
        </is>
      </c>
      <c r="C8" s="10" t="inlineStr">
        <is>
          <t>YODA-1413 OPA VOP for JPM</t>
        </is>
      </c>
      <c r="D8" s="12">
        <f>SUMIFS(Detail!$G$4:$G$180,Detail!$A$4:$A$180,$A$2,Detail!$B$4:$B$180,$A8,Detail!$C$4:$C$180,$B8)</f>
        <v/>
      </c>
    </row>
    <row r="9">
      <c r="A9" s="10" t="inlineStr">
        <is>
          <t>Shrikant Patil</t>
        </is>
      </c>
      <c r="B9" s="10" t="inlineStr">
        <is>
          <t>YODA-1656</t>
        </is>
      </c>
      <c r="C9" s="10" t="inlineStr">
        <is>
          <t>YODA-1656 [Audit] Cross cluster search</t>
        </is>
      </c>
      <c r="D9" s="12">
        <f>SUMIFS(Detail!$G$4:$G$180,Detail!$A$4:$A$180,$A$2,Detail!$B$4:$B$180,$A9,Detail!$C$4:$C$180,$B9)</f>
        <v/>
      </c>
    </row>
    <row r="10">
      <c r="A10" s="10" t="inlineStr">
        <is>
          <t>Shrikant Patil</t>
        </is>
      </c>
      <c r="B10" s="10" t="inlineStr">
        <is>
          <t>YODA-1672</t>
        </is>
      </c>
      <c r="C10" s="10" t="inlineStr">
        <is>
          <t>YODA-1672 Multi Region by Yoda</t>
        </is>
      </c>
      <c r="D10" s="12">
        <f>SUMIFS(Detail!$G$4:$G$180,Detail!$A$4:$A$180,$A$2,Detail!$B$4:$B$180,$A10,Detail!$C$4:$C$180,$B10)</f>
        <v/>
      </c>
    </row>
    <row r="11">
      <c r="A11" s="10" t="inlineStr">
        <is>
          <t>Ramseshu Ghanta</t>
        </is>
      </c>
      <c r="B11" s="10" t="inlineStr">
        <is>
          <t>YODA-1413</t>
        </is>
      </c>
      <c r="C11" s="10" t="inlineStr">
        <is>
          <t>YODA-1413 OPA VOP for JPM</t>
        </is>
      </c>
      <c r="D11" s="12">
        <f>SUMIFS(Detail!$G$4:$G$180,Detail!$A$4:$A$180,$A$2,Detail!$B$4:$B$180,$A11,Detail!$C$4:$C$180,$B11)</f>
        <v/>
      </c>
    </row>
    <row r="12">
      <c r="A12" s="10" t="inlineStr">
        <is>
          <t>Ramseshu Ghanta</t>
        </is>
      </c>
      <c r="B12" s="10" t="inlineStr">
        <is>
          <t>YODA-1429</t>
        </is>
      </c>
      <c r="C12" s="10" t="inlineStr">
        <is>
          <t>YODA-1429 [Audit] Backup strategy</t>
        </is>
      </c>
      <c r="D12" s="12">
        <f>SUMIFS(Detail!$G$4:$G$180,Detail!$A$4:$A$180,$A$2,Detail!$B$4:$B$180,$A12,Detail!$C$4:$C$180,$B12)</f>
        <v/>
      </c>
    </row>
    <row r="13">
      <c r="A13" s="17" t="n"/>
      <c r="B13" s="17" t="n"/>
      <c r="C13" s="18" t="inlineStr">
        <is>
          <t>TEAM TOTAL</t>
        </is>
      </c>
      <c r="D13" s="19">
        <f>SUM(D5:D12)</f>
        <v/>
      </c>
    </row>
    <row r="16">
      <c r="A16" s="6" t="inlineStr">
        <is>
          <t>Per engineer</t>
        </is>
      </c>
    </row>
    <row r="17">
      <c r="A17" s="9" t="inlineStr">
        <is>
          <t>Engineer</t>
        </is>
      </c>
      <c r="B17" s="9" t="inlineStr">
        <is>
          <t>WBSO hours</t>
        </is>
      </c>
      <c r="C17" s="9" t="inlineStr">
        <is>
          <t>Day equivalent</t>
        </is>
      </c>
      <c r="D17" s="9" t="inlineStr">
        <is>
          <t>Active days</t>
        </is>
      </c>
      <c r="E17" s="9" t="inlineStr">
        <is>
          <t>Capacity hours</t>
        </is>
      </c>
      <c r="F17" s="9" t="inlineStr">
        <is>
          <t>WBSO share</t>
        </is>
      </c>
      <c r="G17" s="9" t="inlineStr">
        <is>
          <t>Peak tickets/day</t>
        </is>
      </c>
    </row>
    <row r="18">
      <c r="A18" s="10" t="inlineStr">
        <is>
          <t>Marin Onofrei</t>
        </is>
      </c>
      <c r="B18" s="12">
        <f>SUMIFS(Detail!$G$4:$G$180,Detail!$A$4:$A$180,$A$2,Detail!$B$4:$B$180,$A18)</f>
        <v/>
      </c>
      <c r="C18" s="12">
        <f>IFERROR($B18/Assumptions!$B$5,0)</f>
        <v/>
      </c>
      <c r="D18" s="11" t="n">
        <v>23</v>
      </c>
      <c r="E18" s="12">
        <f>$D18*Assumptions!$B$5</f>
        <v/>
      </c>
      <c r="F18" s="13">
        <f>IFERROR($B18/$E18,0)</f>
        <v/>
      </c>
      <c r="G18" s="11" t="inlineStr">
        <is>
          <t>3 on 30 Oct</t>
        </is>
      </c>
    </row>
    <row r="19">
      <c r="A19" s="10" t="inlineStr">
        <is>
          <t>Parth Mewada</t>
        </is>
      </c>
      <c r="B19" s="12">
        <f>SUMIFS(Detail!$G$4:$G$180,Detail!$A$4:$A$180,$A$2,Detail!$B$4:$B$180,$A19)</f>
        <v/>
      </c>
      <c r="C19" s="12">
        <f>IFERROR($B19/Assumptions!$B$5,0)</f>
        <v/>
      </c>
      <c r="D19" s="11" t="n">
        <v>23</v>
      </c>
      <c r="E19" s="12">
        <f>$D19*Assumptions!$B$5</f>
        <v/>
      </c>
      <c r="F19" s="13">
        <f>IFERROR($B19/$E19,0)</f>
        <v/>
      </c>
      <c r="G19" s="11" t="inlineStr">
        <is>
          <t>3 on 14 Oct</t>
        </is>
      </c>
    </row>
    <row r="20">
      <c r="A20" s="10" t="inlineStr">
        <is>
          <t>Mitali Patil</t>
        </is>
      </c>
      <c r="B20" s="12">
        <f>SUMIFS(Detail!$G$4:$G$180,Detail!$A$4:$A$180,$A$2,Detail!$B$4:$B$180,$A20)</f>
        <v/>
      </c>
      <c r="C20" s="12">
        <f>IFERROR($B20/Assumptions!$B$5,0)</f>
        <v/>
      </c>
      <c r="D20" s="11" t="n">
        <v>12</v>
      </c>
      <c r="E20" s="12">
        <f>$D20*Assumptions!$B$5</f>
        <v/>
      </c>
      <c r="F20" s="13">
        <f>IFERROR($B20/$E20,0)</f>
        <v/>
      </c>
      <c r="G20" s="11" t="inlineStr">
        <is>
          <t>1 on 13 Oct</t>
        </is>
      </c>
    </row>
    <row r="21">
      <c r="A21" s="10" t="inlineStr">
        <is>
          <t>Shrikant Patil</t>
        </is>
      </c>
      <c r="B21" s="12">
        <f>SUMIFS(Detail!$G$4:$G$180,Detail!$A$4:$A$180,$A$2,Detail!$B$4:$B$180,$A21)</f>
        <v/>
      </c>
      <c r="C21" s="12">
        <f>IFERROR($B21/Assumptions!$B$5,0)</f>
        <v/>
      </c>
      <c r="D21" s="11" t="n">
        <v>22</v>
      </c>
      <c r="E21" s="12">
        <f>$D21*Assumptions!$B$5</f>
        <v/>
      </c>
      <c r="F21" s="13">
        <f>IFERROR($B21/$E21,0)</f>
        <v/>
      </c>
      <c r="G21" s="11" t="inlineStr">
        <is>
          <t>6 on 07 Oct</t>
        </is>
      </c>
    </row>
    <row r="22">
      <c r="A22" s="10" t="inlineStr">
        <is>
          <t>Ramseshu Ghanta</t>
        </is>
      </c>
      <c r="B22" s="12">
        <f>SUMIFS(Detail!$G$4:$G$180,Detail!$A$4:$A$180,$A$2,Detail!$B$4:$B$180,$A22)</f>
        <v/>
      </c>
      <c r="C22" s="12">
        <f>IFERROR($B22/Assumptions!$B$5,0)</f>
        <v/>
      </c>
      <c r="D22" s="11" t="n">
        <v>23</v>
      </c>
      <c r="E22" s="12">
        <f>$D22*Assumptions!$B$5</f>
        <v/>
      </c>
      <c r="F22" s="13">
        <f>IFERROR($B22/$E22,0)</f>
        <v/>
      </c>
      <c r="G22" s="11" t="inlineStr">
        <is>
          <t>5 on 28 Oct</t>
        </is>
      </c>
    </row>
    <row r="23">
      <c r="A23" s="3" t="inlineStr">
        <is>
          <t>TOTAL</t>
        </is>
      </c>
      <c r="B23" s="15">
        <f>SUM(B18:B22)</f>
        <v/>
      </c>
      <c r="C23" s="15">
        <f>SUM(C18:C22)</f>
        <v/>
      </c>
      <c r="D23" s="15">
        <f>SUM(D18:D22)</f>
        <v/>
      </c>
      <c r="E23" s="15">
        <f>SUM(E18:E22)</f>
        <v/>
      </c>
      <c r="F23" s="16">
        <f>IFERROR($B23/$E23,0)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34" customWidth="1" min="4" max="4"/>
    <col width="14" customWidth="1" min="5" max="5"/>
    <col width="46" customWidth="1" min="6" max="6"/>
    <col width="10" customWidth="1" min="7" max="7"/>
  </cols>
  <sheetData>
    <row r="1">
      <c r="A1" s="1" t="inlineStr">
        <is>
          <t>Per-ticket WBSO hours across every team (input data from Jira)</t>
        </is>
      </c>
    </row>
    <row r="3">
      <c r="A3" s="9" t="inlineStr">
        <is>
          <t>Team</t>
        </is>
      </c>
      <c r="B3" s="9" t="inlineStr">
        <is>
          <t>Engineer</t>
        </is>
      </c>
      <c r="C3" s="9" t="inlineStr">
        <is>
          <t>Epic key</t>
        </is>
      </c>
      <c r="D3" s="9" t="inlineStr">
        <is>
          <t>Epic</t>
        </is>
      </c>
      <c r="E3" s="9" t="inlineStr">
        <is>
          <t>Ticket</t>
        </is>
      </c>
      <c r="F3" s="9" t="inlineStr">
        <is>
          <t>Ticket summary</t>
        </is>
      </c>
      <c r="G3" s="9" t="inlineStr">
        <is>
          <t>Hours</t>
        </is>
      </c>
    </row>
    <row r="4">
      <c r="A4" s="10" t="inlineStr">
        <is>
          <t>Pastel de Portal Team</t>
        </is>
      </c>
      <c r="B4" s="10" t="inlineStr">
        <is>
          <t>alan.silva</t>
        </is>
      </c>
      <c r="C4" s="10" t="inlineStr">
        <is>
          <t>PT-351</t>
        </is>
      </c>
      <c r="D4" s="10" t="inlineStr">
        <is>
          <t>PT-351 VOP File Check Improvements</t>
        </is>
      </c>
      <c r="E4" s="10" t="inlineStr">
        <is>
          <t>PT-369</t>
        </is>
      </c>
      <c r="F4" s="10" t="inlineStr">
        <is>
          <t xml:space="preserve">Add new Header for File Encoding (VOP - Bulk </t>
        </is>
      </c>
      <c r="G4" s="20" t="n">
        <v>4.2667</v>
      </c>
    </row>
    <row r="5">
      <c r="A5" s="10" t="inlineStr">
        <is>
          <t>Pastel de Portal Team</t>
        </is>
      </c>
      <c r="B5" s="10" t="inlineStr">
        <is>
          <t>alan.silva</t>
        </is>
      </c>
      <c r="C5" s="10" t="inlineStr">
        <is>
          <t>PT-351</t>
        </is>
      </c>
      <c r="D5" s="10" t="inlineStr">
        <is>
          <t>PT-351 VOP File Check Improvements</t>
        </is>
      </c>
      <c r="E5" s="10" t="inlineStr">
        <is>
          <t>PT-382</t>
        </is>
      </c>
      <c r="F5" s="10" t="inlineStr">
        <is>
          <t>Update X-Tenant header in bulk</t>
        </is>
      </c>
      <c r="G5" s="20" t="n">
        <v>4.2667</v>
      </c>
    </row>
    <row r="6">
      <c r="A6" s="10" t="inlineStr">
        <is>
          <t>Pastel de Portal Team</t>
        </is>
      </c>
      <c r="B6" s="10" t="inlineStr">
        <is>
          <t>alan.silva</t>
        </is>
      </c>
      <c r="C6" s="10" t="inlineStr">
        <is>
          <t>PT-420</t>
        </is>
      </c>
      <c r="D6" s="10" t="inlineStr">
        <is>
          <t>PT-420 VoP For Corporates</t>
        </is>
      </c>
      <c r="E6" s="10" t="inlineStr">
        <is>
          <t>PT-423</t>
        </is>
      </c>
      <c r="F6" s="10" t="inlineStr">
        <is>
          <t>VoP For Corporates - Testing all scenarios</t>
        </is>
      </c>
      <c r="G6" s="20" t="n">
        <v>24.3429</v>
      </c>
    </row>
    <row r="7">
      <c r="A7" s="10" t="inlineStr">
        <is>
          <t>Pastel de Portal Team</t>
        </is>
      </c>
      <c r="B7" s="10" t="inlineStr">
        <is>
          <t>alan.silva</t>
        </is>
      </c>
      <c r="C7" s="10" t="inlineStr">
        <is>
          <t>PT-420</t>
        </is>
      </c>
      <c r="D7" s="10" t="inlineStr">
        <is>
          <t>PT-420 VoP For Corporates</t>
        </is>
      </c>
      <c r="E7" s="10" t="inlineStr">
        <is>
          <t>PT-419</t>
        </is>
      </c>
      <c r="F7" s="10" t="inlineStr">
        <is>
          <t>Update request to Org API - EU Corporates</t>
        </is>
      </c>
      <c r="G7" s="20" t="n">
        <v>8.3429</v>
      </c>
    </row>
    <row r="8">
      <c r="A8" s="10" t="inlineStr">
        <is>
          <t>Pastel de Portal Team</t>
        </is>
      </c>
      <c r="B8" s="10" t="inlineStr">
        <is>
          <t>Vitor Fernandes</t>
        </is>
      </c>
      <c r="C8" s="10" t="inlineStr">
        <is>
          <t>PT-351</t>
        </is>
      </c>
      <c r="D8" s="10" t="inlineStr">
        <is>
          <t>PT-351 VOP File Check Improvements</t>
        </is>
      </c>
      <c r="E8" s="10" t="inlineStr">
        <is>
          <t>PT-369</t>
        </is>
      </c>
      <c r="F8" s="10" t="inlineStr">
        <is>
          <t xml:space="preserve">Add new Header for File Encoding (VOP - Bulk </t>
        </is>
      </c>
      <c r="G8" s="20" t="n">
        <v>8</v>
      </c>
    </row>
    <row r="9">
      <c r="A9" s="10" t="inlineStr">
        <is>
          <t>Pastel de Portal Team</t>
        </is>
      </c>
      <c r="B9" s="10" t="inlineStr">
        <is>
          <t>Vitor Fernandes</t>
        </is>
      </c>
      <c r="C9" s="10" t="inlineStr">
        <is>
          <t>PT-351</t>
        </is>
      </c>
      <c r="D9" s="10" t="inlineStr">
        <is>
          <t>PT-351 VOP File Check Improvements</t>
        </is>
      </c>
      <c r="E9" s="10" t="inlineStr">
        <is>
          <t>PT-382</t>
        </is>
      </c>
      <c r="F9" s="10" t="inlineStr">
        <is>
          <t>Update X-Tenant header in bulk</t>
        </is>
      </c>
      <c r="G9" s="20" t="n">
        <v>6</v>
      </c>
    </row>
    <row r="10">
      <c r="A10" s="10" t="inlineStr">
        <is>
          <t>Pastel de Portal Team</t>
        </is>
      </c>
      <c r="B10" s="10" t="inlineStr">
        <is>
          <t>Vitor Fernandes</t>
        </is>
      </c>
      <c r="C10" s="10" t="inlineStr">
        <is>
          <t>PT-420</t>
        </is>
      </c>
      <c r="D10" s="10" t="inlineStr">
        <is>
          <t>PT-420 VoP For Corporates</t>
        </is>
      </c>
      <c r="E10" s="10" t="inlineStr">
        <is>
          <t>PT-419</t>
        </is>
      </c>
      <c r="F10" s="10" t="inlineStr">
        <is>
          <t>Update request to Org API - EU Corporates</t>
        </is>
      </c>
      <c r="G10" s="20" t="n">
        <v>13.3333</v>
      </c>
    </row>
    <row r="11">
      <c r="A11" s="10" t="inlineStr">
        <is>
          <t>Pastel de Portal Team</t>
        </is>
      </c>
      <c r="B11" s="10" t="inlineStr">
        <is>
          <t>Basar Soker</t>
        </is>
      </c>
      <c r="C11" s="10" t="inlineStr">
        <is>
          <t>PT-421</t>
        </is>
      </c>
      <c r="D11" s="10" t="inlineStr">
        <is>
          <t>PT-421 Multi Region Implementation</t>
        </is>
      </c>
      <c r="E11" s="10" t="inlineStr">
        <is>
          <t>PT-411</t>
        </is>
      </c>
      <c r="F11" s="10" t="inlineStr">
        <is>
          <t>Implement exemption list for SSM parameter co</t>
        </is>
      </c>
      <c r="G11" s="20" t="n">
        <v>14.6667</v>
      </c>
    </row>
    <row r="12">
      <c r="A12" s="10" t="inlineStr">
        <is>
          <t>Platform Team 6</t>
        </is>
      </c>
      <c r="B12" s="10" t="inlineStr">
        <is>
          <t>Venkata Mannam</t>
        </is>
      </c>
      <c r="C12" s="10" t="inlineStr">
        <is>
          <t>PT6-1419</t>
        </is>
      </c>
      <c r="D12" s="10" t="inlineStr">
        <is>
          <t>PT6-1419 Traefik migration V3</t>
        </is>
      </c>
      <c r="E12" s="10" t="inlineStr">
        <is>
          <t>PT6-1812</t>
        </is>
      </c>
      <c r="F12" s="10" t="inlineStr">
        <is>
          <t xml:space="preserve">Migrate all traefik k8s inbound resources to </t>
        </is>
      </c>
      <c r="G12" s="20" t="n">
        <v>64</v>
      </c>
    </row>
    <row r="13">
      <c r="A13" s="10" t="inlineStr">
        <is>
          <t>Platform Team 6</t>
        </is>
      </c>
      <c r="B13" s="10" t="inlineStr">
        <is>
          <t>Venkata Mannam</t>
        </is>
      </c>
      <c r="C13" s="10" t="inlineStr">
        <is>
          <t>PT6-1670</t>
        </is>
      </c>
      <c r="D13" s="10" t="inlineStr">
        <is>
          <t xml:space="preserve">PT6-1670 Multi region </t>
        </is>
      </c>
      <c r="E13" s="10" t="inlineStr">
        <is>
          <t>PT6-1751</t>
        </is>
      </c>
      <c r="F13" s="10" t="inlineStr">
        <is>
          <t>Investigate reaching a sqs from another regio</t>
        </is>
      </c>
      <c r="G13" s="20" t="n">
        <v>32</v>
      </c>
    </row>
    <row r="14">
      <c r="A14" s="10" t="inlineStr">
        <is>
          <t>Platform Team 6</t>
        </is>
      </c>
      <c r="B14" s="10" t="inlineStr">
        <is>
          <t>Venkata Mannam</t>
        </is>
      </c>
      <c r="C14" s="10" t="inlineStr">
        <is>
          <t>PT6-1670</t>
        </is>
      </c>
      <c r="D14" s="10" t="inlineStr">
        <is>
          <t xml:space="preserve">PT6-1670 Multi region </t>
        </is>
      </c>
      <c r="E14" s="10" t="inlineStr">
        <is>
          <t>PT6-1836</t>
        </is>
      </c>
      <c r="F14" s="10" t="inlineStr">
        <is>
          <t>Make nl account cluster LB available  to cent</t>
        </is>
      </c>
      <c r="G14" s="20" t="n">
        <v>20</v>
      </c>
    </row>
    <row r="15">
      <c r="A15" s="10" t="inlineStr">
        <is>
          <t>Platform Team 6</t>
        </is>
      </c>
      <c r="B15" s="10" t="inlineStr">
        <is>
          <t>Venkata Mannam</t>
        </is>
      </c>
      <c r="C15" s="10" t="inlineStr">
        <is>
          <t>PT6-1670</t>
        </is>
      </c>
      <c r="D15" s="10" t="inlineStr">
        <is>
          <t xml:space="preserve">PT6-1670 Multi region </t>
        </is>
      </c>
      <c r="E15" s="10" t="inlineStr">
        <is>
          <t>PT6-1894</t>
        </is>
      </c>
      <c r="F15" s="10" t="inlineStr">
        <is>
          <t>Investigate why traefik inbound on central do</t>
        </is>
      </c>
      <c r="G15" s="20" t="n">
        <v>16</v>
      </c>
    </row>
    <row r="16">
      <c r="A16" s="10" t="inlineStr">
        <is>
          <t>Platform Team 6</t>
        </is>
      </c>
      <c r="B16" s="10" t="inlineStr">
        <is>
          <t>Venkata Mannam</t>
        </is>
      </c>
      <c r="C16" s="10" t="inlineStr">
        <is>
          <t>PT6-1670</t>
        </is>
      </c>
      <c r="D16" s="10" t="inlineStr">
        <is>
          <t xml:space="preserve">PT6-1670 Multi region </t>
        </is>
      </c>
      <c r="E16" s="10" t="inlineStr">
        <is>
          <t>PT6-1903</t>
        </is>
      </c>
      <c r="F16" s="10" t="inlineStr">
        <is>
          <t>Add all central vpc to route53 for sqs and s3</t>
        </is>
      </c>
      <c r="G16" s="20" t="n">
        <v>16</v>
      </c>
    </row>
    <row r="17">
      <c r="A17" s="10" t="inlineStr">
        <is>
          <t>Platform Team 6</t>
        </is>
      </c>
      <c r="B17" s="10" t="inlineStr">
        <is>
          <t>Venkata Mannam</t>
        </is>
      </c>
      <c r="C17" s="10" t="inlineStr">
        <is>
          <t>PT6-1670</t>
        </is>
      </c>
      <c r="D17" s="10" t="inlineStr">
        <is>
          <t xml:space="preserve">PT6-1670 Multi region </t>
        </is>
      </c>
      <c r="E17" s="10" t="inlineStr">
        <is>
          <t>PT6-1890</t>
        </is>
      </c>
      <c r="F17" s="10" t="inlineStr">
        <is>
          <t>Peer eu-central-1 cross border adapter VPC wi</t>
        </is>
      </c>
      <c r="G17" s="20" t="n">
        <v>8</v>
      </c>
    </row>
    <row r="18">
      <c r="A18" s="10" t="inlineStr">
        <is>
          <t>Platform Team 6</t>
        </is>
      </c>
      <c r="B18" s="10" t="inlineStr">
        <is>
          <t>Venkata Mannam</t>
        </is>
      </c>
      <c r="C18" s="10" t="inlineStr">
        <is>
          <t>PT6-1670</t>
        </is>
      </c>
      <c r="D18" s="10" t="inlineStr">
        <is>
          <t xml:space="preserve">PT6-1670 Multi region </t>
        </is>
      </c>
      <c r="E18" s="10" t="inlineStr">
        <is>
          <t>PT6-1913</t>
        </is>
      </c>
      <c r="F18" s="10" t="inlineStr">
        <is>
          <t>Create test proof for Natewest that Multi reg</t>
        </is>
      </c>
      <c r="G18" s="20" t="n">
        <v>8</v>
      </c>
    </row>
    <row r="19">
      <c r="A19" s="10" t="inlineStr">
        <is>
          <t>Platform Team 6</t>
        </is>
      </c>
      <c r="B19" s="10" t="inlineStr">
        <is>
          <t>Venkata Mannam</t>
        </is>
      </c>
      <c r="C19" s="10" t="inlineStr">
        <is>
          <t>PT6-1670</t>
        </is>
      </c>
      <c r="D19" s="10" t="inlineStr">
        <is>
          <t xml:space="preserve">PT6-1670 Multi region </t>
        </is>
      </c>
      <c r="E19" s="10" t="inlineStr">
        <is>
          <t>PT6-1919</t>
        </is>
      </c>
      <c r="F19" s="10" t="inlineStr">
        <is>
          <t>Update s3 interface policy</t>
        </is>
      </c>
      <c r="G19" s="20" t="n">
        <v>8</v>
      </c>
    </row>
    <row r="20">
      <c r="A20" s="10" t="inlineStr">
        <is>
          <t>Platform Team 6</t>
        </is>
      </c>
      <c r="B20" s="10" t="inlineStr">
        <is>
          <t>Venkata Mannam</t>
        </is>
      </c>
      <c r="C20" s="10" t="inlineStr">
        <is>
          <t>PT6-1670</t>
        </is>
      </c>
      <c r="D20" s="10" t="inlineStr">
        <is>
          <t xml:space="preserve">PT6-1670 Multi region </t>
        </is>
      </c>
      <c r="E20" s="10" t="inlineStr">
        <is>
          <t>PT6-1861</t>
        </is>
      </c>
      <c r="F20" s="10" t="inlineStr">
        <is>
          <t>Peer Org vpc in central to the dataprovisioni</t>
        </is>
      </c>
      <c r="G20" s="20" t="n">
        <v>4</v>
      </c>
    </row>
    <row r="21">
      <c r="A21" s="10" t="inlineStr">
        <is>
          <t>Platform Team 6</t>
        </is>
      </c>
      <c r="B21" s="10" t="inlineStr">
        <is>
          <t>Venkata Mannam</t>
        </is>
      </c>
      <c r="C21" s="10" t="inlineStr">
        <is>
          <t>PT6-1710</t>
        </is>
      </c>
      <c r="D21" s="10" t="inlineStr">
        <is>
          <t xml:space="preserve">PT6-1710 K8s/Traefik Enhancements  </t>
        </is>
      </c>
      <c r="E21" s="10" t="inlineStr">
        <is>
          <t>PT6-1905</t>
        </is>
      </c>
      <c r="F21" s="10" t="inlineStr">
        <is>
          <t>Fix request id plugin</t>
        </is>
      </c>
      <c r="G21" s="20" t="n">
        <v>8</v>
      </c>
    </row>
    <row r="22">
      <c r="A22" s="10" t="inlineStr">
        <is>
          <t>Platform Team 6</t>
        </is>
      </c>
      <c r="B22" s="10" t="inlineStr">
        <is>
          <t>Elton Qevani</t>
        </is>
      </c>
      <c r="C22" s="10" t="inlineStr">
        <is>
          <t>PT6-1670</t>
        </is>
      </c>
      <c r="D22" s="10" t="inlineStr">
        <is>
          <t xml:space="preserve">PT6-1670 Multi region </t>
        </is>
      </c>
      <c r="E22" s="10" t="inlineStr">
        <is>
          <t>PT6-1889</t>
        </is>
      </c>
      <c r="F22" s="10" t="inlineStr">
        <is>
          <t>Enable VOP Gateway in traefik and test if tra</t>
        </is>
      </c>
      <c r="G22" s="20" t="n">
        <v>28</v>
      </c>
    </row>
    <row r="23">
      <c r="A23" s="10" t="inlineStr">
        <is>
          <t>Platform Team 6</t>
        </is>
      </c>
      <c r="B23" s="10" t="inlineStr">
        <is>
          <t>Elton Qevani</t>
        </is>
      </c>
      <c r="C23" s="10" t="inlineStr">
        <is>
          <t>PT6-1670</t>
        </is>
      </c>
      <c r="D23" s="10" t="inlineStr">
        <is>
          <t xml:space="preserve">PT6-1670 Multi region </t>
        </is>
      </c>
      <c r="E23" s="10" t="inlineStr">
        <is>
          <t>PT6-1884</t>
        </is>
      </c>
      <c r="F23" s="10" t="inlineStr">
        <is>
          <t>Create apigee resources for new vop endpoint</t>
        </is>
      </c>
      <c r="G23" s="20" t="n">
        <v>22.6667</v>
      </c>
    </row>
    <row r="24">
      <c r="A24" s="10" t="inlineStr">
        <is>
          <t>Platform Team 6</t>
        </is>
      </c>
      <c r="B24" s="10" t="inlineStr">
        <is>
          <t>Elton Qevani</t>
        </is>
      </c>
      <c r="C24" s="10" t="inlineStr">
        <is>
          <t>PT6-1670</t>
        </is>
      </c>
      <c r="D24" s="10" t="inlineStr">
        <is>
          <t xml:space="preserve">PT6-1670 Multi region </t>
        </is>
      </c>
      <c r="E24" s="10" t="inlineStr">
        <is>
          <t>PT6-1920</t>
        </is>
      </c>
      <c r="F24" s="10" t="inlineStr">
        <is>
          <t>Re-provision eu-central-1 network with RFC 19</t>
        </is>
      </c>
      <c r="G24" s="20" t="n">
        <v>16</v>
      </c>
    </row>
    <row r="25">
      <c r="A25" s="10" t="inlineStr">
        <is>
          <t>Platform Team 6</t>
        </is>
      </c>
      <c r="B25" s="10" t="inlineStr">
        <is>
          <t>Elton Qevani</t>
        </is>
      </c>
      <c r="C25" s="10" t="inlineStr">
        <is>
          <t>PT6-1670</t>
        </is>
      </c>
      <c r="D25" s="10" t="inlineStr">
        <is>
          <t xml:space="preserve">PT6-1670 Multi region </t>
        </is>
      </c>
      <c r="E25" s="10" t="inlineStr">
        <is>
          <t>PT6-1921</t>
        </is>
      </c>
      <c r="F25" s="10" t="inlineStr">
        <is>
          <t>Support teams in multi-region deloyment</t>
        </is>
      </c>
      <c r="G25" s="20" t="n">
        <v>16</v>
      </c>
    </row>
    <row r="26">
      <c r="A26" s="10" t="inlineStr">
        <is>
          <t>Platform Team 6</t>
        </is>
      </c>
      <c r="B26" s="10" t="inlineStr">
        <is>
          <t>Elton Qevani</t>
        </is>
      </c>
      <c r="C26" s="10" t="inlineStr">
        <is>
          <t>PT6-1670</t>
        </is>
      </c>
      <c r="D26" s="10" t="inlineStr">
        <is>
          <t xml:space="preserve">PT6-1670 Multi region </t>
        </is>
      </c>
      <c r="E26" s="10" t="inlineStr">
        <is>
          <t>PT6-1914</t>
        </is>
      </c>
      <c r="F26" s="10" t="inlineStr">
        <is>
          <t>Deploy infra-org to central</t>
        </is>
      </c>
      <c r="G26" s="20" t="n">
        <v>8</v>
      </c>
    </row>
    <row r="27">
      <c r="A27" s="10" t="inlineStr">
        <is>
          <t>Platform Team 6</t>
        </is>
      </c>
      <c r="B27" s="10" t="inlineStr">
        <is>
          <t>Elton Qevani</t>
        </is>
      </c>
      <c r="C27" s="10" t="inlineStr">
        <is>
          <t>PT6-1670</t>
        </is>
      </c>
      <c r="D27" s="10" t="inlineStr">
        <is>
          <t xml:space="preserve">PT6-1670 Multi region </t>
        </is>
      </c>
      <c r="E27" s="10" t="inlineStr">
        <is>
          <t>PT6-1782</t>
        </is>
      </c>
      <c r="F27" s="10" t="inlineStr">
        <is>
          <t>Migrate infra-dataprovisoning networking to e</t>
        </is>
      </c>
      <c r="G27" s="20" t="n">
        <v>6.6667</v>
      </c>
    </row>
    <row r="28">
      <c r="A28" s="10" t="inlineStr">
        <is>
          <t>Platform Team 6</t>
        </is>
      </c>
      <c r="B28" s="10" t="inlineStr">
        <is>
          <t>Elton Qevani</t>
        </is>
      </c>
      <c r="C28" s="10" t="inlineStr">
        <is>
          <t>PT6-1911</t>
        </is>
      </c>
      <c r="D28" s="10" t="inlineStr">
        <is>
          <t>PT6-1911 Observability</t>
        </is>
      </c>
      <c r="E28" s="10" t="inlineStr">
        <is>
          <t>PT6-1907</t>
        </is>
      </c>
      <c r="F28" s="10" t="inlineStr">
        <is>
          <t>Create dashboards for tps</t>
        </is>
      </c>
      <c r="G28" s="20" t="n">
        <v>32</v>
      </c>
    </row>
    <row r="29">
      <c r="A29" s="10" t="inlineStr">
        <is>
          <t>Platform Team 6</t>
        </is>
      </c>
      <c r="B29" s="10" t="inlineStr">
        <is>
          <t>Rafay Khan</t>
        </is>
      </c>
      <c r="C29" s="10" t="inlineStr">
        <is>
          <t>PT6-1670</t>
        </is>
      </c>
      <c r="D29" s="10" t="inlineStr">
        <is>
          <t xml:space="preserve">PT6-1670 Multi region </t>
        </is>
      </c>
      <c r="E29" s="10" t="inlineStr">
        <is>
          <t>PT6-1848</t>
        </is>
      </c>
      <c r="F29" s="10" t="inlineStr">
        <is>
          <t>Deploy eu-dataloaders infra second region (th</t>
        </is>
      </c>
      <c r="G29" s="20" t="n">
        <v>22</v>
      </c>
    </row>
    <row r="30">
      <c r="A30" s="10" t="inlineStr">
        <is>
          <t>Platform Team 6</t>
        </is>
      </c>
      <c r="B30" s="10" t="inlineStr">
        <is>
          <t>Rafay Khan</t>
        </is>
      </c>
      <c r="C30" s="10" t="inlineStr">
        <is>
          <t>PT6-1670</t>
        </is>
      </c>
      <c r="D30" s="10" t="inlineStr">
        <is>
          <t xml:space="preserve">PT6-1670 Multi region </t>
        </is>
      </c>
      <c r="E30" s="10" t="inlineStr">
        <is>
          <t>PT6-1917</t>
        </is>
      </c>
      <c r="F30" s="10" t="inlineStr">
        <is>
          <t xml:space="preserve">Modify ssm lambda to read the exclusion list </t>
        </is>
      </c>
      <c r="G30" s="20" t="n">
        <v>14</v>
      </c>
    </row>
    <row r="31">
      <c r="A31" s="10" t="inlineStr">
        <is>
          <t>Platform Team 6</t>
        </is>
      </c>
      <c r="B31" s="10" t="inlineStr">
        <is>
          <t>Rafay Khan</t>
        </is>
      </c>
      <c r="C31" s="10" t="inlineStr">
        <is>
          <t>PT6-1670</t>
        </is>
      </c>
      <c r="D31" s="10" t="inlineStr">
        <is>
          <t xml:space="preserve">PT6-1670 Multi region </t>
        </is>
      </c>
      <c r="E31" s="10" t="inlineStr">
        <is>
          <t>PT6-1799</t>
        </is>
      </c>
      <c r="F31" s="10" t="inlineStr">
        <is>
          <t xml:space="preserve">Write docs for Modify KMS polices to add the </t>
        </is>
      </c>
      <c r="G31" s="20" t="n">
        <v>7.3333</v>
      </c>
    </row>
    <row r="32">
      <c r="A32" s="10" t="inlineStr">
        <is>
          <t>Platform Team 6</t>
        </is>
      </c>
      <c r="B32" s="10" t="inlineStr">
        <is>
          <t>Mete Han Karacüllü</t>
        </is>
      </c>
      <c r="C32" s="10" t="inlineStr">
        <is>
          <t>PT6-1670</t>
        </is>
      </c>
      <c r="D32" s="10" t="inlineStr">
        <is>
          <t xml:space="preserve">PT6-1670 Multi region </t>
        </is>
      </c>
      <c r="E32" s="10" t="inlineStr">
        <is>
          <t>PT6-1850</t>
        </is>
      </c>
      <c r="F32" s="10" t="inlineStr">
        <is>
          <t>Create new apigee endpoint in traefik only fo</t>
        </is>
      </c>
      <c r="G32" s="20" t="n">
        <v>36</v>
      </c>
    </row>
    <row r="33">
      <c r="A33" s="10" t="inlineStr">
        <is>
          <t>Platform Team 6</t>
        </is>
      </c>
      <c r="B33" s="10" t="inlineStr">
        <is>
          <t>Iakovos Belonias</t>
        </is>
      </c>
      <c r="C33" s="10" t="inlineStr">
        <is>
          <t>PT6-1670</t>
        </is>
      </c>
      <c r="D33" s="10" t="inlineStr">
        <is>
          <t xml:space="preserve">PT6-1670 Multi region </t>
        </is>
      </c>
      <c r="E33" s="10" t="inlineStr">
        <is>
          <t>PT6-1895</t>
        </is>
      </c>
      <c r="F33" s="10" t="inlineStr">
        <is>
          <t>Traefik dashboard in central does not seem to</t>
        </is>
      </c>
      <c r="G33" s="20" t="n">
        <v>17.619</v>
      </c>
    </row>
    <row r="34">
      <c r="A34" s="10" t="inlineStr">
        <is>
          <t>Team Horizon</t>
        </is>
      </c>
      <c r="B34" s="10" t="inlineStr">
        <is>
          <t>Arpit Dahiya</t>
        </is>
      </c>
      <c r="C34" s="10" t="inlineStr">
        <is>
          <t>SUK-5790</t>
        </is>
      </c>
      <c r="D34" s="10" t="inlineStr">
        <is>
          <t>SUK-5790 VOP Improvements  - 2025</t>
        </is>
      </c>
      <c r="E34" s="10" t="inlineStr">
        <is>
          <t>SUK-5779</t>
        </is>
      </c>
      <c r="F34" s="10" t="inlineStr">
        <is>
          <t>[VOP-Outbound] Improvement - Use decorator pa</t>
        </is>
      </c>
      <c r="G34" s="20" t="n">
        <v>94</v>
      </c>
    </row>
    <row r="35">
      <c r="A35" s="10" t="inlineStr">
        <is>
          <t>Team Horizon</t>
        </is>
      </c>
      <c r="B35" s="10" t="inlineStr">
        <is>
          <t>Arpit Dahiya</t>
        </is>
      </c>
      <c r="C35" s="10" t="inlineStr">
        <is>
          <t>SUK-5790</t>
        </is>
      </c>
      <c r="D35" s="10" t="inlineStr">
        <is>
          <t>SUK-5790 VOP Improvements  - 2025</t>
        </is>
      </c>
      <c r="E35" s="10" t="inlineStr">
        <is>
          <t>SUK-5840</t>
        </is>
      </c>
      <c r="F35" s="10" t="inlineStr">
        <is>
          <t>[VOP-Outbound]Improve audit logging with inco</t>
        </is>
      </c>
      <c r="G35" s="20" t="n">
        <v>28.6667</v>
      </c>
    </row>
    <row r="36">
      <c r="A36" s="10" t="inlineStr">
        <is>
          <t>Team Horizon</t>
        </is>
      </c>
      <c r="B36" s="10" t="inlineStr">
        <is>
          <t>Arpit Dahiya</t>
        </is>
      </c>
      <c r="C36" s="10" t="inlineStr">
        <is>
          <t>SUK-5790</t>
        </is>
      </c>
      <c r="D36" s="10" t="inlineStr">
        <is>
          <t>SUK-5790 VOP Improvements  - 2025</t>
        </is>
      </c>
      <c r="E36" s="10" t="inlineStr">
        <is>
          <t>SUK-5864</t>
        </is>
      </c>
      <c r="F36" s="10" t="inlineStr">
        <is>
          <t xml:space="preserve">[VOP-Outbound][VOP-Inbound] Bad request sent </t>
        </is>
      </c>
      <c r="G36" s="20" t="n">
        <v>16</v>
      </c>
    </row>
    <row r="37">
      <c r="A37" s="10" t="inlineStr">
        <is>
          <t>Team Horizon</t>
        </is>
      </c>
      <c r="B37" s="10" t="inlineStr">
        <is>
          <t>Arpit Dahiya</t>
        </is>
      </c>
      <c r="C37" s="10" t="inlineStr">
        <is>
          <t>SUK-5790</t>
        </is>
      </c>
      <c r="D37" s="10" t="inlineStr">
        <is>
          <t>SUK-5790 VOP Improvements  - 2025</t>
        </is>
      </c>
      <c r="E37" s="10" t="inlineStr">
        <is>
          <t>SUK-5820</t>
        </is>
      </c>
      <c r="F37" s="10" t="inlineStr">
        <is>
          <t>[VOP Outbound] Return improved error descript</t>
        </is>
      </c>
      <c r="G37" s="20" t="n">
        <v>12</v>
      </c>
    </row>
    <row r="38">
      <c r="A38" s="10" t="inlineStr">
        <is>
          <t>Team Horizon</t>
        </is>
      </c>
      <c r="B38" s="10" t="inlineStr">
        <is>
          <t>Arpit Dahiya</t>
        </is>
      </c>
      <c r="C38" s="10" t="inlineStr">
        <is>
          <t>SUK-5790</t>
        </is>
      </c>
      <c r="D38" s="10" t="inlineStr">
        <is>
          <t>SUK-5790 VOP Improvements  - 2025</t>
        </is>
      </c>
      <c r="E38" s="10" t="inlineStr">
        <is>
          <t>SUK-5845</t>
        </is>
      </c>
      <c r="F38" s="10" t="inlineStr">
        <is>
          <t>Adjust Maximum Allowed Time Drift in vop-inbo</t>
        </is>
      </c>
      <c r="G38" s="20" t="n">
        <v>10</v>
      </c>
    </row>
    <row r="39">
      <c r="A39" s="10" t="inlineStr">
        <is>
          <t>Team Horizon</t>
        </is>
      </c>
      <c r="B39" s="10" t="inlineStr">
        <is>
          <t>Arpit Dahiya</t>
        </is>
      </c>
      <c r="C39" s="10" t="inlineStr">
        <is>
          <t>SUK-5790</t>
        </is>
      </c>
      <c r="D39" s="10" t="inlineStr">
        <is>
          <t>SUK-5790 VOP Improvements  - 2025</t>
        </is>
      </c>
      <c r="E39" s="10" t="inlineStr">
        <is>
          <t>SUK-5835</t>
        </is>
      </c>
      <c r="F39" s="10" t="inlineStr">
        <is>
          <t>[VOP-Inbound] Update NAME_TOO_SHORT mapping t</t>
        </is>
      </c>
      <c r="G39" s="20" t="n">
        <v>7.3333</v>
      </c>
    </row>
    <row r="40">
      <c r="A40" s="10" t="inlineStr">
        <is>
          <t>Team Horizon</t>
        </is>
      </c>
      <c r="B40" s="10" t="inlineStr">
        <is>
          <t>Ryan Shepherd</t>
        </is>
      </c>
      <c r="C40" s="10" t="inlineStr">
        <is>
          <t>SUK-5466</t>
        </is>
      </c>
      <c r="D40" s="10" t="inlineStr">
        <is>
          <t>SUK-5466 VOP Outbound Adaptor</t>
        </is>
      </c>
      <c r="E40" s="10" t="inlineStr">
        <is>
          <t>SUK-5792</t>
        </is>
      </c>
      <c r="F40" s="10" t="inlineStr">
        <is>
          <t>[VOP Outbound Adapter] SecretRefreshService n</t>
        </is>
      </c>
      <c r="G40" s="20" t="n">
        <v>8</v>
      </c>
    </row>
    <row r="41">
      <c r="A41" s="10" t="inlineStr">
        <is>
          <t>Team Horizon</t>
        </is>
      </c>
      <c r="B41" s="10" t="inlineStr">
        <is>
          <t>Ryan Shepherd</t>
        </is>
      </c>
      <c r="C41" s="10" t="inlineStr">
        <is>
          <t>SUK-5578</t>
        </is>
      </c>
      <c r="D41" s="10" t="inlineStr">
        <is>
          <t xml:space="preserve">SUK-5578 VOP Inbound Adaptor </t>
        </is>
      </c>
      <c r="E41" s="10" t="inlineStr">
        <is>
          <t>SUK-5810</t>
        </is>
      </c>
      <c r="F41" s="10" t="inlineStr">
        <is>
          <t>[VOP Inbound] suppress Easy Config warnings</t>
        </is>
      </c>
      <c r="G41" s="20" t="n">
        <v>6.6984</v>
      </c>
    </row>
    <row r="42">
      <c r="A42" s="10" t="inlineStr">
        <is>
          <t>Team Horizon</t>
        </is>
      </c>
      <c r="B42" s="10" t="inlineStr">
        <is>
          <t>Ryan Shepherd</t>
        </is>
      </c>
      <c r="C42" s="10" t="inlineStr">
        <is>
          <t>SUK-5578</t>
        </is>
      </c>
      <c r="D42" s="10" t="inlineStr">
        <is>
          <t xml:space="preserve">SUK-5578 VOP Inbound Adaptor </t>
        </is>
      </c>
      <c r="E42" s="10" t="inlineStr">
        <is>
          <t>SUK-5802</t>
        </is>
      </c>
      <c r="F42" s="10" t="inlineStr">
        <is>
          <t>The inbound adapter is logging IBAN's . Not a</t>
        </is>
      </c>
      <c r="G42" s="20" t="n">
        <v>6.6667</v>
      </c>
    </row>
    <row r="43">
      <c r="A43" s="10" t="inlineStr">
        <is>
          <t>Team Horizon</t>
        </is>
      </c>
      <c r="B43" s="10" t="inlineStr">
        <is>
          <t>Ryan Shepherd</t>
        </is>
      </c>
      <c r="C43" s="10" t="inlineStr">
        <is>
          <t>SUK-5790</t>
        </is>
      </c>
      <c r="D43" s="10" t="inlineStr">
        <is>
          <t>SUK-5790 VOP Improvements  - 2025</t>
        </is>
      </c>
      <c r="E43" s="10" t="inlineStr">
        <is>
          <t>SUK-5548</t>
        </is>
      </c>
      <c r="F43" s="10" t="inlineStr">
        <is>
          <t xml:space="preserve">Update csr-generator-lambda-eu test coverage </t>
        </is>
      </c>
      <c r="G43" s="20" t="n">
        <v>84.5651</v>
      </c>
    </row>
    <row r="44">
      <c r="A44" s="10" t="inlineStr">
        <is>
          <t>Team Horizon</t>
        </is>
      </c>
      <c r="B44" s="10" t="inlineStr">
        <is>
          <t>Ryan Shepherd</t>
        </is>
      </c>
      <c r="C44" s="10" t="inlineStr">
        <is>
          <t>SUK-5790</t>
        </is>
      </c>
      <c r="D44" s="10" t="inlineStr">
        <is>
          <t>SUK-5790 VOP Improvements  - 2025</t>
        </is>
      </c>
      <c r="E44" s="10" t="inlineStr">
        <is>
          <t>SUK-5865</t>
        </is>
      </c>
      <c r="F44" s="10" t="inlineStr">
        <is>
          <t xml:space="preserve">[VOP-Outbound] (tech debt) - replace org/vop </t>
        </is>
      </c>
      <c r="G44" s="20" t="n">
        <v>16</v>
      </c>
    </row>
    <row r="45">
      <c r="A45" s="10" t="inlineStr">
        <is>
          <t>Team Horizon</t>
        </is>
      </c>
      <c r="B45" s="10" t="inlineStr">
        <is>
          <t>Ryan Shepherd</t>
        </is>
      </c>
      <c r="C45" s="10" t="inlineStr">
        <is>
          <t>SUK-5790</t>
        </is>
      </c>
      <c r="D45" s="10" t="inlineStr">
        <is>
          <t>SUK-5790 VOP Improvements  - 2025</t>
        </is>
      </c>
      <c r="E45" s="10" t="inlineStr">
        <is>
          <t>SUK-5807</t>
        </is>
      </c>
      <c r="F45" s="10" t="inlineStr">
        <is>
          <t xml:space="preserve">Remove leading and trailing whitespaces from </t>
        </is>
      </c>
      <c r="G45" s="20" t="n">
        <v>5.2317</v>
      </c>
    </row>
    <row r="46">
      <c r="A46" s="10" t="inlineStr">
        <is>
          <t>Team Horizon</t>
        </is>
      </c>
      <c r="B46" s="10" t="inlineStr">
        <is>
          <t>Ryan Shepherd</t>
        </is>
      </c>
      <c r="C46" s="10" t="inlineStr">
        <is>
          <t>SUK-5790</t>
        </is>
      </c>
      <c r="D46" s="10" t="inlineStr">
        <is>
          <t>SUK-5790 VOP Improvements  - 2025</t>
        </is>
      </c>
      <c r="E46" s="10" t="inlineStr">
        <is>
          <t>SUK-5827</t>
        </is>
      </c>
      <c r="F46" s="10" t="inlineStr">
        <is>
          <t>[VOP-Outbound] force audit responseBody to on</t>
        </is>
      </c>
      <c r="G46" s="20" t="n">
        <v>4.0889</v>
      </c>
    </row>
    <row r="47">
      <c r="A47" s="10" t="inlineStr">
        <is>
          <t>Team Horizon</t>
        </is>
      </c>
      <c r="B47" s="10" t="inlineStr">
        <is>
          <t>Ryan Shepherd</t>
        </is>
      </c>
      <c r="C47" s="10" t="inlineStr">
        <is>
          <t>SUK-5790</t>
        </is>
      </c>
      <c r="D47" s="10" t="inlineStr">
        <is>
          <t>SUK-5790 VOP Improvements  - 2025</t>
        </is>
      </c>
      <c r="E47" s="10" t="inlineStr">
        <is>
          <t>SUK-5828</t>
        </is>
      </c>
      <c r="F47" s="10" t="inlineStr">
        <is>
          <t>[VOP-Inbound] only set audit response body af</t>
        </is>
      </c>
      <c r="G47" s="20" t="n">
        <v>4.0889</v>
      </c>
    </row>
    <row r="48">
      <c r="A48" s="10" t="inlineStr">
        <is>
          <t>Team Horizon</t>
        </is>
      </c>
      <c r="B48" s="10" t="inlineStr">
        <is>
          <t>Ryan Shepherd</t>
        </is>
      </c>
      <c r="C48" s="10" t="inlineStr">
        <is>
          <t>SUK-5790</t>
        </is>
      </c>
      <c r="D48" s="10" t="inlineStr">
        <is>
          <t>SUK-5790 VOP Improvements  - 2025</t>
        </is>
      </c>
      <c r="E48" s="10" t="inlineStr">
        <is>
          <t>SUK-5813</t>
        </is>
      </c>
      <c r="F48" s="10" t="inlineStr">
        <is>
          <t>[VOP-Outbound] Cache dynamodb results and ref</t>
        </is>
      </c>
      <c r="G48" s="20" t="n">
        <v>4.0317</v>
      </c>
    </row>
    <row r="49">
      <c r="A49" s="10" t="inlineStr">
        <is>
          <t>Team Horizon</t>
        </is>
      </c>
      <c r="B49" s="10" t="inlineStr">
        <is>
          <t>Ryan Shepherd</t>
        </is>
      </c>
      <c r="C49" s="10" t="inlineStr">
        <is>
          <t>SUK-5790</t>
        </is>
      </c>
      <c r="D49" s="10" t="inlineStr">
        <is>
          <t>SUK-5790 VOP Improvements  - 2025</t>
        </is>
      </c>
      <c r="E49" s="10" t="inlineStr">
        <is>
          <t>SUK-5818</t>
        </is>
      </c>
      <c r="F49" s="10" t="inlineStr">
        <is>
          <t>[VOP-Inbound &amp; VOP-Outbound] Update the mappi</t>
        </is>
      </c>
      <c r="G49" s="20" t="n">
        <v>3.2</v>
      </c>
    </row>
    <row r="50">
      <c r="A50" s="10" t="inlineStr">
        <is>
          <t>Team Horizon</t>
        </is>
      </c>
      <c r="B50" s="10" t="inlineStr">
        <is>
          <t>Ryan Shepherd</t>
        </is>
      </c>
      <c r="C50" s="10" t="inlineStr">
        <is>
          <t>SUK-5790</t>
        </is>
      </c>
      <c r="D50" s="10" t="inlineStr">
        <is>
          <t>SUK-5790 VOP Improvements  - 2025</t>
        </is>
      </c>
      <c r="E50" s="10" t="inlineStr">
        <is>
          <t>SUK-5816</t>
        </is>
      </c>
      <c r="F50" s="10" t="inlineStr">
        <is>
          <t>[VOP-Inbound] Ignore INACNO Rule while checki</t>
        </is>
      </c>
      <c r="G50" s="20" t="n">
        <v>2.0317</v>
      </c>
    </row>
    <row r="51">
      <c r="A51" s="10" t="inlineStr">
        <is>
          <t>Team Horizon</t>
        </is>
      </c>
      <c r="B51" s="10" t="inlineStr">
        <is>
          <t>Ryan Shepherd</t>
        </is>
      </c>
      <c r="C51" s="10" t="inlineStr">
        <is>
          <t>SUK-5790</t>
        </is>
      </c>
      <c r="D51" s="10" t="inlineStr">
        <is>
          <t>SUK-5790 VOP Improvements  - 2025</t>
        </is>
      </c>
      <c r="E51" s="10" t="inlineStr">
        <is>
          <t>SUK-5817</t>
        </is>
      </c>
      <c r="F51" s="10" t="inlineStr">
        <is>
          <t xml:space="preserve">[VOP-Outbound]Update Unstructured remittance </t>
        </is>
      </c>
      <c r="G51" s="20" t="n">
        <v>2.0317</v>
      </c>
    </row>
    <row r="52">
      <c r="A52" s="10" t="inlineStr">
        <is>
          <t>Team Horizon</t>
        </is>
      </c>
      <c r="B52" s="10" t="inlineStr">
        <is>
          <t>Péter Veres</t>
        </is>
      </c>
      <c r="C52" s="10" t="inlineStr">
        <is>
          <t>SUK-5787</t>
        </is>
      </c>
      <c r="D52" s="10" t="inlineStr">
        <is>
          <t>SUK-5787 NEW: Support for BIC8</t>
        </is>
      </c>
      <c r="E52" s="10" t="inlineStr">
        <is>
          <t>SUK-5788</t>
        </is>
      </c>
      <c r="F52" s="10" t="inlineStr">
        <is>
          <t xml:space="preserve">VOP Outbound Adapter : Convert BIC8 to BIC11 </t>
        </is>
      </c>
      <c r="G52" s="20" t="n">
        <v>12</v>
      </c>
    </row>
    <row r="53">
      <c r="A53" s="10" t="inlineStr">
        <is>
          <t>Team Horizon</t>
        </is>
      </c>
      <c r="B53" s="10" t="inlineStr">
        <is>
          <t>Péter Veres</t>
        </is>
      </c>
      <c r="C53" s="10" t="inlineStr">
        <is>
          <t>SUK-5790</t>
        </is>
      </c>
      <c r="D53" s="10" t="inlineStr">
        <is>
          <t>SUK-5790 VOP Improvements  - 2025</t>
        </is>
      </c>
      <c r="E53" s="10" t="inlineStr">
        <is>
          <t>SUK-5838</t>
        </is>
      </c>
      <c r="F53" s="10" t="inlineStr">
        <is>
          <t>[VOP-Outbound] Audit Log - IBAN un Masking</t>
        </is>
      </c>
      <c r="G53" s="20" t="n">
        <v>58.6667</v>
      </c>
    </row>
    <row r="54">
      <c r="A54" s="10" t="inlineStr">
        <is>
          <t>Team Horizon</t>
        </is>
      </c>
      <c r="B54" s="10" t="inlineStr">
        <is>
          <t>Péter Veres</t>
        </is>
      </c>
      <c r="C54" s="10" t="inlineStr">
        <is>
          <t>SUK-5790</t>
        </is>
      </c>
      <c r="D54" s="10" t="inlineStr">
        <is>
          <t>SUK-5790 VOP Improvements  - 2025</t>
        </is>
      </c>
      <c r="E54" s="10" t="inlineStr">
        <is>
          <t>SUK-5777</t>
        </is>
      </c>
      <c r="F54" s="10" t="inlineStr">
        <is>
          <t>POC: Add alerts for ERROR logs increase in PR</t>
        </is>
      </c>
      <c r="G54" s="20" t="n">
        <v>41.3333</v>
      </c>
    </row>
    <row r="55">
      <c r="A55" s="10" t="inlineStr">
        <is>
          <t>Team Horizon</t>
        </is>
      </c>
      <c r="B55" s="10" t="inlineStr">
        <is>
          <t>Péter Veres</t>
        </is>
      </c>
      <c r="C55" s="10" t="inlineStr">
        <is>
          <t>SUK-5790</t>
        </is>
      </c>
      <c r="D55" s="10" t="inlineStr">
        <is>
          <t>SUK-5790 VOP Improvements  - 2025</t>
        </is>
      </c>
      <c r="E55" s="10" t="inlineStr">
        <is>
          <t>SUK-5781</t>
        </is>
      </c>
      <c r="F55" s="10" t="inlineStr">
        <is>
          <t>[VOP-Outbound]  Decide if  retry logic is nee</t>
        </is>
      </c>
      <c r="G55" s="20" t="n">
        <v>12</v>
      </c>
    </row>
    <row r="56">
      <c r="A56" s="10" t="inlineStr">
        <is>
          <t>Team Horizon</t>
        </is>
      </c>
      <c r="B56" s="10" t="inlineStr">
        <is>
          <t>Péter Veres</t>
        </is>
      </c>
      <c r="C56" s="10" t="inlineStr">
        <is>
          <t>SUK-5790</t>
        </is>
      </c>
      <c r="D56" s="10" t="inlineStr">
        <is>
          <t>SUK-5790 VOP Improvements  - 2025</t>
        </is>
      </c>
      <c r="E56" s="10" t="inlineStr">
        <is>
          <t>SUK-5871</t>
        </is>
      </c>
      <c r="F56" s="10" t="inlineStr">
        <is>
          <t>[VOP-Inbound] Audit Log - IBAN un Masking</t>
        </is>
      </c>
      <c r="G56" s="20" t="n">
        <v>10.6667</v>
      </c>
    </row>
    <row r="57">
      <c r="A57" s="10" t="inlineStr">
        <is>
          <t>Team Horizon</t>
        </is>
      </c>
      <c r="B57" s="10" t="inlineStr">
        <is>
          <t>Péter Veres</t>
        </is>
      </c>
      <c r="C57" s="10" t="inlineStr">
        <is>
          <t>SUK-5790</t>
        </is>
      </c>
      <c r="D57" s="10" t="inlineStr">
        <is>
          <t>SUK-5790 VOP Improvements  - 2025</t>
        </is>
      </c>
      <c r="E57" s="10" t="inlineStr">
        <is>
          <t>SUK-5805</t>
        </is>
      </c>
      <c r="F57" s="10" t="inlineStr">
        <is>
          <t xml:space="preserve">[VOP] Review application log levels for both </t>
        </is>
      </c>
      <c r="G57" s="20" t="n">
        <v>2.6667</v>
      </c>
    </row>
    <row r="58">
      <c r="A58" s="10" t="inlineStr">
        <is>
          <t>Team Horizon</t>
        </is>
      </c>
      <c r="B58" s="10" t="inlineStr">
        <is>
          <t>Adorjan Fritz</t>
        </is>
      </c>
      <c r="C58" s="10" t="inlineStr">
        <is>
          <t>SUK-5578</t>
        </is>
      </c>
      <c r="D58" s="10" t="inlineStr">
        <is>
          <t xml:space="preserve">SUK-5578 VOP Inbound Adaptor </t>
        </is>
      </c>
      <c r="E58" s="10" t="inlineStr">
        <is>
          <t>SUK-5804</t>
        </is>
      </c>
      <c r="F58" s="10" t="inlineStr">
        <is>
          <t xml:space="preserve"> X-response-timestamp is incorrect when there</t>
        </is>
      </c>
      <c r="G58" s="20" t="n">
        <v>8</v>
      </c>
    </row>
    <row r="59">
      <c r="A59" s="10" t="inlineStr">
        <is>
          <t>Team Horizon</t>
        </is>
      </c>
      <c r="B59" s="10" t="inlineStr">
        <is>
          <t>Adorjan Fritz</t>
        </is>
      </c>
      <c r="C59" s="10" t="inlineStr">
        <is>
          <t>SUK-5578</t>
        </is>
      </c>
      <c r="D59" s="10" t="inlineStr">
        <is>
          <t xml:space="preserve">SUK-5578 VOP Inbound Adaptor </t>
        </is>
      </c>
      <c r="E59" s="10" t="inlineStr">
        <is>
          <t>SUK-5806</t>
        </is>
      </c>
      <c r="F59" s="10" t="inlineStr">
        <is>
          <t>[VOP Inbound] BIC8 to BIC 11 conversion for a</t>
        </is>
      </c>
      <c r="G59" s="20" t="n">
        <v>8</v>
      </c>
    </row>
    <row r="60">
      <c r="A60" s="10" t="inlineStr">
        <is>
          <t>Team Horizon</t>
        </is>
      </c>
      <c r="B60" s="10" t="inlineStr">
        <is>
          <t>Adorjan Fritz</t>
        </is>
      </c>
      <c r="C60" s="10" t="inlineStr">
        <is>
          <t>SUK-5578</t>
        </is>
      </c>
      <c r="D60" s="10" t="inlineStr">
        <is>
          <t xml:space="preserve">SUK-5578 VOP Inbound Adaptor </t>
        </is>
      </c>
      <c r="E60" s="10" t="inlineStr">
        <is>
          <t>SUK-5800</t>
        </is>
      </c>
      <c r="F60" s="10" t="inlineStr">
        <is>
          <t>[VOP-Inbound]Adjust x-response-timestamp as p</t>
        </is>
      </c>
      <c r="G60" s="20" t="n">
        <v>4</v>
      </c>
    </row>
    <row r="61">
      <c r="A61" s="10" t="inlineStr">
        <is>
          <t>Team Horizon</t>
        </is>
      </c>
      <c r="B61" s="10" t="inlineStr">
        <is>
          <t>Adorjan Fritz</t>
        </is>
      </c>
      <c r="C61" s="10" t="inlineStr">
        <is>
          <t>SUK-5751</t>
        </is>
      </c>
      <c r="D61" s="10" t="inlineStr">
        <is>
          <t xml:space="preserve">SUK-5751 VOP Multi Region </t>
        </is>
      </c>
      <c r="E61" s="10" t="inlineStr">
        <is>
          <t>SUK-5866</t>
        </is>
      </c>
      <c r="F61" s="10" t="inlineStr">
        <is>
          <t>[VoP Inbound] Change routing-only dynamodb en</t>
        </is>
      </c>
      <c r="G61" s="20" t="n">
        <v>16</v>
      </c>
    </row>
    <row r="62">
      <c r="A62" s="10" t="inlineStr">
        <is>
          <t>Team Horizon</t>
        </is>
      </c>
      <c r="B62" s="10" t="inlineStr">
        <is>
          <t>Adorjan Fritz</t>
        </is>
      </c>
      <c r="C62" s="10" t="inlineStr">
        <is>
          <t>SUK-5751</t>
        </is>
      </c>
      <c r="D62" s="10" t="inlineStr">
        <is>
          <t xml:space="preserve">SUK-5751 VOP Multi Region </t>
        </is>
      </c>
      <c r="E62" s="10" t="inlineStr">
        <is>
          <t>SUK-5867</t>
        </is>
      </c>
      <c r="F62" s="10" t="inlineStr">
        <is>
          <t>[VOP Outbound] Update external endpoints in a</t>
        </is>
      </c>
      <c r="G62" s="20" t="n">
        <v>8</v>
      </c>
    </row>
    <row r="63">
      <c r="A63" s="10" t="inlineStr">
        <is>
          <t>Team Horizon</t>
        </is>
      </c>
      <c r="B63" s="10" t="inlineStr">
        <is>
          <t>Adorjan Fritz</t>
        </is>
      </c>
      <c r="C63" s="10" t="inlineStr">
        <is>
          <t>SUK-5751</t>
        </is>
      </c>
      <c r="D63" s="10" t="inlineStr">
        <is>
          <t xml:space="preserve">SUK-5751 VOP Multi Region </t>
        </is>
      </c>
      <c r="E63" s="10" t="inlineStr">
        <is>
          <t>SUK-5873</t>
        </is>
      </c>
      <c r="F63" s="10" t="inlineStr">
        <is>
          <t xml:space="preserve">[VOP-Inbound] Tenant name is unknown for the </t>
        </is>
      </c>
      <c r="G63" s="20" t="n">
        <v>4.6667</v>
      </c>
    </row>
    <row r="64">
      <c r="A64" s="10" t="inlineStr">
        <is>
          <t>Team Horizon</t>
        </is>
      </c>
      <c r="B64" s="10" t="inlineStr">
        <is>
          <t>Adorjan Fritz</t>
        </is>
      </c>
      <c r="C64" s="10" t="inlineStr">
        <is>
          <t>SUK-5751</t>
        </is>
      </c>
      <c r="D64" s="10" t="inlineStr">
        <is>
          <t xml:space="preserve">SUK-5751 VOP Multi Region </t>
        </is>
      </c>
      <c r="E64" s="10" t="inlineStr">
        <is>
          <t>SUK-5883</t>
        </is>
      </c>
      <c r="F64" s="10" t="inlineStr">
        <is>
          <t>Sentry monitoring is DOWN after multiregion c</t>
        </is>
      </c>
      <c r="G64" s="20" t="n">
        <v>4.6667</v>
      </c>
    </row>
    <row r="65">
      <c r="A65" s="10" t="inlineStr">
        <is>
          <t>Team Horizon</t>
        </is>
      </c>
      <c r="B65" s="10" t="inlineStr">
        <is>
          <t>Adorjan Fritz</t>
        </is>
      </c>
      <c r="C65" s="10" t="inlineStr">
        <is>
          <t>SUK-5787</t>
        </is>
      </c>
      <c r="D65" s="10" t="inlineStr">
        <is>
          <t>SUK-5787 NEW: Support for BIC8</t>
        </is>
      </c>
      <c r="E65" s="10" t="inlineStr">
        <is>
          <t>SUK-5789</t>
        </is>
      </c>
      <c r="F65" s="10" t="inlineStr">
        <is>
          <t>VOP Inbound Adapter : Convert BIC8 to BIC11 f</t>
        </is>
      </c>
      <c r="G65" s="20" t="n">
        <v>8</v>
      </c>
    </row>
    <row r="66">
      <c r="A66" s="10" t="inlineStr">
        <is>
          <t>Team Horizon</t>
        </is>
      </c>
      <c r="B66" s="10" t="inlineStr">
        <is>
          <t>Adorjan Fritz</t>
        </is>
      </c>
      <c r="C66" s="10" t="inlineStr">
        <is>
          <t>SUK-5790</t>
        </is>
      </c>
      <c r="D66" s="10" t="inlineStr">
        <is>
          <t>SUK-5790 VOP Improvements  - 2025</t>
        </is>
      </c>
      <c r="E66" s="10" t="inlineStr">
        <is>
          <t>SUK-5823</t>
        </is>
      </c>
      <c r="F66" s="10" t="inlineStr">
        <is>
          <t>[VOP-Inbound] audit user-config needs to be d</t>
        </is>
      </c>
      <c r="G66" s="20" t="n">
        <v>24</v>
      </c>
    </row>
    <row r="67">
      <c r="A67" s="10" t="inlineStr">
        <is>
          <t>Team Horizon</t>
        </is>
      </c>
      <c r="B67" s="10" t="inlineStr">
        <is>
          <t>Adorjan Fritz</t>
        </is>
      </c>
      <c r="C67" s="10" t="inlineStr">
        <is>
          <t>SUK-5790</t>
        </is>
      </c>
      <c r="D67" s="10" t="inlineStr">
        <is>
          <t>SUK-5790 VOP Improvements  - 2025</t>
        </is>
      </c>
      <c r="E67" s="10" t="inlineStr">
        <is>
          <t>SUK-5708</t>
        </is>
      </c>
      <c r="F67" s="10" t="inlineStr">
        <is>
          <t>Improvement: Enable Spring actuator endpoints</t>
        </is>
      </c>
      <c r="G67" s="20" t="n">
        <v>12</v>
      </c>
    </row>
    <row r="68">
      <c r="A68" s="10" t="inlineStr">
        <is>
          <t>Team Horizon</t>
        </is>
      </c>
      <c r="B68" s="10" t="inlineStr">
        <is>
          <t>Adorjan Fritz</t>
        </is>
      </c>
      <c r="C68" s="10" t="inlineStr">
        <is>
          <t>SUK-5790</t>
        </is>
      </c>
      <c r="D68" s="10" t="inlineStr">
        <is>
          <t>SUK-5790 VOP Improvements  - 2025</t>
        </is>
      </c>
      <c r="E68" s="10" t="inlineStr">
        <is>
          <t>SUK-5803</t>
        </is>
      </c>
      <c r="F68" s="10" t="inlineStr">
        <is>
          <t>The BIC 11 representation should be used in g</t>
        </is>
      </c>
      <c r="G68" s="20" t="n">
        <v>8</v>
      </c>
    </row>
    <row r="69">
      <c r="A69" s="10" t="inlineStr">
        <is>
          <t>Team Horizon</t>
        </is>
      </c>
      <c r="B69" s="10" t="inlineStr">
        <is>
          <t>Adorjan Fritz</t>
        </is>
      </c>
      <c r="C69" s="10" t="inlineStr">
        <is>
          <t>SUK-5790</t>
        </is>
      </c>
      <c r="D69" s="10" t="inlineStr">
        <is>
          <t>SUK-5790 VOP Improvements  - 2025</t>
        </is>
      </c>
      <c r="E69" s="10" t="inlineStr">
        <is>
          <t>SUK-5829</t>
        </is>
      </c>
      <c r="F69" s="10" t="inlineStr">
        <is>
          <t>[VOP-Outbound] Added thread safety precaution</t>
        </is>
      </c>
      <c r="G69" s="20" t="n">
        <v>8</v>
      </c>
    </row>
    <row r="70">
      <c r="A70" s="10" t="inlineStr">
        <is>
          <t>Team Horizon</t>
        </is>
      </c>
      <c r="B70" s="10" t="inlineStr">
        <is>
          <t>Adorjan Fritz</t>
        </is>
      </c>
      <c r="C70" s="10" t="inlineStr">
        <is>
          <t>SUK-5790</t>
        </is>
      </c>
      <c r="D70" s="10" t="inlineStr">
        <is>
          <t>SUK-5790 VOP Improvements  - 2025</t>
        </is>
      </c>
      <c r="E70" s="10" t="inlineStr">
        <is>
          <t>SUK-5847</t>
        </is>
      </c>
      <c r="F70" s="10" t="inlineStr">
        <is>
          <t>[vop-inbound-adapter] enable virtual threads</t>
        </is>
      </c>
      <c r="G70" s="20" t="n">
        <v>8</v>
      </c>
    </row>
    <row r="71">
      <c r="A71" s="10" t="inlineStr">
        <is>
          <t>Team Horizon</t>
        </is>
      </c>
      <c r="B71" s="10" t="inlineStr">
        <is>
          <t>Adorjan Fritz</t>
        </is>
      </c>
      <c r="C71" s="10" t="inlineStr">
        <is>
          <t>SUK-5790</t>
        </is>
      </c>
      <c r="D71" s="10" t="inlineStr">
        <is>
          <t>SUK-5790 VOP Improvements  - 2025</t>
        </is>
      </c>
      <c r="E71" s="10" t="inlineStr">
        <is>
          <t>SUK-5869</t>
        </is>
      </c>
      <c r="F71" s="10" t="inlineStr">
        <is>
          <t>[VOP-Inbound] Set the tenant value in x-custo</t>
        </is>
      </c>
      <c r="G71" s="20" t="n">
        <v>4.6667</v>
      </c>
    </row>
    <row r="72">
      <c r="A72" s="10" t="inlineStr">
        <is>
          <t>Team Horizon</t>
        </is>
      </c>
      <c r="B72" s="10" t="inlineStr">
        <is>
          <t>Adorjan Fritz</t>
        </is>
      </c>
      <c r="C72" s="10" t="inlineStr">
        <is>
          <t>SUK-5790</t>
        </is>
      </c>
      <c r="D72" s="10" t="inlineStr">
        <is>
          <t>SUK-5790 VOP Improvements  - 2025</t>
        </is>
      </c>
      <c r="E72" s="10" t="inlineStr">
        <is>
          <t>SUK-5868</t>
        </is>
      </c>
      <c r="F72" s="10" t="inlineStr">
        <is>
          <t>[eds-directory-processor] Update lambda to fe</t>
        </is>
      </c>
      <c r="G72" s="20" t="n">
        <v>2</v>
      </c>
    </row>
    <row r="73">
      <c r="A73" s="10" t="inlineStr">
        <is>
          <t>Team Horizon</t>
        </is>
      </c>
      <c r="B73" s="10" t="inlineStr">
        <is>
          <t>Julian Mulder</t>
        </is>
      </c>
      <c r="C73" s="10" t="inlineStr">
        <is>
          <t>SUK-5466</t>
        </is>
      </c>
      <c r="D73" s="10" t="inlineStr">
        <is>
          <t>SUK-5466 VOP Outbound Adaptor</t>
        </is>
      </c>
      <c r="E73" s="10" t="inlineStr">
        <is>
          <t>SUK-5849</t>
        </is>
      </c>
      <c r="F73" s="10" t="inlineStr">
        <is>
          <t>Modify jdk.tls.maxHandshakeMessageSize</t>
        </is>
      </c>
      <c r="G73" s="20" t="n">
        <v>6.2667</v>
      </c>
    </row>
    <row r="74">
      <c r="A74" s="10" t="inlineStr">
        <is>
          <t>Team Horizon</t>
        </is>
      </c>
      <c r="B74" s="10" t="inlineStr">
        <is>
          <t>Julian Mulder</t>
        </is>
      </c>
      <c r="C74" s="10" t="inlineStr">
        <is>
          <t>SUK-5466</t>
        </is>
      </c>
      <c r="D74" s="10" t="inlineStr">
        <is>
          <t>SUK-5466 VOP Outbound Adaptor</t>
        </is>
      </c>
      <c r="E74" s="10" t="inlineStr">
        <is>
          <t>SUK-5798</t>
        </is>
      </c>
      <c r="F74" s="10" t="inlineStr">
        <is>
          <t>[ACC-EU] [PRD-EU] Release VOP Outbound Adapto</t>
        </is>
      </c>
      <c r="G74" s="20" t="n">
        <v>5.3333</v>
      </c>
    </row>
    <row r="75">
      <c r="A75" s="10" t="inlineStr">
        <is>
          <t>Team Horizon</t>
        </is>
      </c>
      <c r="B75" s="10" t="inlineStr">
        <is>
          <t>Julian Mulder</t>
        </is>
      </c>
      <c r="C75" s="10" t="inlineStr">
        <is>
          <t>SUK-5466</t>
        </is>
      </c>
      <c r="D75" s="10" t="inlineStr">
        <is>
          <t>SUK-5466 VOP Outbound Adaptor</t>
        </is>
      </c>
      <c r="E75" s="10" t="inlineStr">
        <is>
          <t>SUK-5799</t>
        </is>
      </c>
      <c r="F75" s="10" t="inlineStr">
        <is>
          <t>[ACC-EU] [PRD-EU] Release VOP Inbound Adaptor</t>
        </is>
      </c>
      <c r="G75" s="20" t="n">
        <v>5.3333</v>
      </c>
    </row>
    <row r="76">
      <c r="A76" s="10" t="inlineStr">
        <is>
          <t>Team Horizon</t>
        </is>
      </c>
      <c r="B76" s="10" t="inlineStr">
        <is>
          <t>Julian Mulder</t>
        </is>
      </c>
      <c r="C76" s="10" t="inlineStr">
        <is>
          <t>SUK-5578</t>
        </is>
      </c>
      <c r="D76" s="10" t="inlineStr">
        <is>
          <t xml:space="preserve">SUK-5578 VOP Inbound Adaptor </t>
        </is>
      </c>
      <c r="E76" s="10" t="inlineStr">
        <is>
          <t>SUK-5791</t>
        </is>
      </c>
      <c r="F76" s="10" t="inlineStr">
        <is>
          <t>[VOP-Inbound] Trusting CAs from eidas link fo</t>
        </is>
      </c>
      <c r="G76" s="20" t="n">
        <v>4</v>
      </c>
    </row>
    <row r="77">
      <c r="A77" s="10" t="inlineStr">
        <is>
          <t>Team Horizon</t>
        </is>
      </c>
      <c r="B77" s="10" t="inlineStr">
        <is>
          <t>Julian Mulder</t>
        </is>
      </c>
      <c r="C77" s="10" t="inlineStr">
        <is>
          <t>SUK-5790</t>
        </is>
      </c>
      <c r="D77" s="10" t="inlineStr">
        <is>
          <t>SUK-5790 VOP Improvements  - 2025</t>
        </is>
      </c>
      <c r="E77" s="10" t="inlineStr">
        <is>
          <t>SUK-5812</t>
        </is>
      </c>
      <c r="F77" s="10" t="inlineStr">
        <is>
          <t>Production Incident: High latency on outbound</t>
        </is>
      </c>
      <c r="G77" s="20" t="n">
        <v>16</v>
      </c>
    </row>
    <row r="78">
      <c r="A78" s="10" t="inlineStr">
        <is>
          <t>Team Horizon</t>
        </is>
      </c>
      <c r="B78" s="10" t="inlineStr">
        <is>
          <t>Julian Mulder</t>
        </is>
      </c>
      <c r="C78" s="10" t="inlineStr">
        <is>
          <t>SUK-5790</t>
        </is>
      </c>
      <c r="D78" s="10" t="inlineStr">
        <is>
          <t>SUK-5790 VOP Improvements  - 2025</t>
        </is>
      </c>
      <c r="E78" s="10" t="inlineStr">
        <is>
          <t>SUK-5842</t>
        </is>
      </c>
      <c r="F78" s="10" t="inlineStr">
        <is>
          <t>PoC sentry</t>
        </is>
      </c>
      <c r="G78" s="20" t="n">
        <v>6.2667</v>
      </c>
    </row>
    <row r="79">
      <c r="A79" s="10" t="inlineStr">
        <is>
          <t>Team Horizon</t>
        </is>
      </c>
      <c r="B79" s="10" t="inlineStr">
        <is>
          <t>Julian Mulder</t>
        </is>
      </c>
      <c r="C79" s="10" t="inlineStr">
        <is>
          <t>SUK-5790</t>
        </is>
      </c>
      <c r="D79" s="10" t="inlineStr">
        <is>
          <t>SUK-5790 VOP Improvements  - 2025</t>
        </is>
      </c>
      <c r="E79" s="10" t="inlineStr">
        <is>
          <t>SUK-5846</t>
        </is>
      </c>
      <c r="F79" s="10" t="inlineStr">
        <is>
          <t xml:space="preserve">Squid proxy blocking non standard ports </t>
        </is>
      </c>
      <c r="G79" s="20" t="n">
        <v>6</v>
      </c>
    </row>
    <row r="80">
      <c r="A80" s="10" t="inlineStr">
        <is>
          <t>Team Horizon</t>
        </is>
      </c>
      <c r="B80" s="10" t="inlineStr">
        <is>
          <t>Prabhukiran Narava</t>
        </is>
      </c>
      <c r="C80" s="10" t="inlineStr">
        <is>
          <t>SUK-5578</t>
        </is>
      </c>
      <c r="D80" s="10" t="inlineStr">
        <is>
          <t xml:space="preserve">SUK-5578 VOP Inbound Adaptor </t>
        </is>
      </c>
      <c r="E80" s="10" t="inlineStr">
        <is>
          <t>SUK-5809</t>
        </is>
      </c>
      <c r="F80" s="10" t="inlineStr">
        <is>
          <t>[ACC-EU] [PRD-EU] Release VOP Inbound Adaptor</t>
        </is>
      </c>
      <c r="G80" s="20" t="n">
        <v>2</v>
      </c>
    </row>
    <row r="81">
      <c r="A81" s="10" t="inlineStr">
        <is>
          <t>Team Horizon</t>
        </is>
      </c>
      <c r="B81" s="10" t="inlineStr">
        <is>
          <t>Prabhukiran Narava</t>
        </is>
      </c>
      <c r="C81" s="10" t="inlineStr">
        <is>
          <t>SUK-5578</t>
        </is>
      </c>
      <c r="D81" s="10" t="inlineStr">
        <is>
          <t xml:space="preserve">SUK-5578 VOP Inbound Adaptor </t>
        </is>
      </c>
      <c r="E81" s="10" t="inlineStr">
        <is>
          <t>SUK-5824</t>
        </is>
      </c>
      <c r="F81" s="10" t="inlineStr">
        <is>
          <t>[ACC-EU] [PRD-EU] Release VOP Inbound Adaptor</t>
        </is>
      </c>
      <c r="G81" s="20" t="n">
        <v>1.6</v>
      </c>
    </row>
    <row r="82">
      <c r="A82" s="10" t="inlineStr">
        <is>
          <t>Team Horizon</t>
        </is>
      </c>
      <c r="B82" s="10" t="inlineStr">
        <is>
          <t>Prabhukiran Narava</t>
        </is>
      </c>
      <c r="C82" s="10" t="inlineStr">
        <is>
          <t>SUK-5578</t>
        </is>
      </c>
      <c r="D82" s="10" t="inlineStr">
        <is>
          <t xml:space="preserve">SUK-5578 VOP Inbound Adaptor </t>
        </is>
      </c>
      <c r="E82" s="10" t="inlineStr">
        <is>
          <t>SUK-5825</t>
        </is>
      </c>
      <c r="F82" s="10" t="inlineStr">
        <is>
          <t>[ACC-EU] [PRD-EU] Release VOP Outbound Adapto</t>
        </is>
      </c>
      <c r="G82" s="20" t="n">
        <v>1.6</v>
      </c>
    </row>
    <row r="83">
      <c r="A83" s="10" t="inlineStr">
        <is>
          <t>Team Horizon</t>
        </is>
      </c>
      <c r="B83" s="10" t="inlineStr">
        <is>
          <t>Prabhukiran Narava</t>
        </is>
      </c>
      <c r="C83" s="10" t="inlineStr">
        <is>
          <t>SUK-5790</t>
        </is>
      </c>
      <c r="D83" s="10" t="inlineStr">
        <is>
          <t>SUK-5790 VOP Improvements  - 2025</t>
        </is>
      </c>
      <c r="E83" s="10" t="inlineStr">
        <is>
          <t>SUK-5778</t>
        </is>
      </c>
      <c r="F83" s="10" t="inlineStr">
        <is>
          <t xml:space="preserve">Cloudwatch the logging Improvements Planning </t>
        </is>
      </c>
      <c r="G83" s="20" t="n">
        <v>32</v>
      </c>
    </row>
    <row r="84">
      <c r="A84" s="10" t="inlineStr">
        <is>
          <t>Team Horizon</t>
        </is>
      </c>
      <c r="B84" s="10" t="inlineStr">
        <is>
          <t>Sanjay Chaudhary</t>
        </is>
      </c>
      <c r="C84" s="10" t="inlineStr">
        <is>
          <t>SUK-5751</t>
        </is>
      </c>
      <c r="D84" s="10" t="inlineStr">
        <is>
          <t xml:space="preserve">SUK-5751 VOP Multi Region </t>
        </is>
      </c>
      <c r="E84" s="10" t="inlineStr">
        <is>
          <t>SUK-5753</t>
        </is>
      </c>
      <c r="F84" s="10" t="inlineStr">
        <is>
          <t>Multi region vop inbound adapter</t>
        </is>
      </c>
      <c r="G84" s="20" t="n">
        <v>10.1524</v>
      </c>
    </row>
    <row r="85">
      <c r="A85" s="10" t="inlineStr">
        <is>
          <t>Team Horizon</t>
        </is>
      </c>
      <c r="B85" s="10" t="inlineStr">
        <is>
          <t>Sanjay Chaudhary</t>
        </is>
      </c>
      <c r="C85" s="10" t="inlineStr">
        <is>
          <t>SUK-5751</t>
        </is>
      </c>
      <c r="D85" s="10" t="inlineStr">
        <is>
          <t xml:space="preserve">SUK-5751 VOP Multi Region </t>
        </is>
      </c>
      <c r="E85" s="10" t="inlineStr">
        <is>
          <t>SUK-5752</t>
        </is>
      </c>
      <c r="F85" s="10" t="inlineStr">
        <is>
          <t>Multi region vop outbound adapter</t>
        </is>
      </c>
      <c r="G85" s="20" t="n">
        <v>5.4762</v>
      </c>
    </row>
    <row r="86">
      <c r="A86" s="10" t="inlineStr">
        <is>
          <t>Team Horizon</t>
        </is>
      </c>
      <c r="B86" s="10" t="inlineStr">
        <is>
          <t>Sanjay Chaudhary</t>
        </is>
      </c>
      <c r="C86" s="10" t="inlineStr">
        <is>
          <t>SUK-5751</t>
        </is>
      </c>
      <c r="D86" s="10" t="inlineStr">
        <is>
          <t xml:space="preserve">SUK-5751 VOP Multi Region </t>
        </is>
      </c>
      <c r="E86" s="10" t="inlineStr">
        <is>
          <t>SUK-5811</t>
        </is>
      </c>
      <c r="F86" s="10" t="inlineStr">
        <is>
          <t>Multi region - Deploy infra-cross-border adap</t>
        </is>
      </c>
      <c r="G86" s="20" t="n">
        <v>4.1429</v>
      </c>
    </row>
    <row r="87">
      <c r="A87" s="10" t="inlineStr">
        <is>
          <t>Team Horizon</t>
        </is>
      </c>
      <c r="B87" s="10" t="inlineStr">
        <is>
          <t>Sanjay Chaudhary</t>
        </is>
      </c>
      <c r="C87" s="10" t="inlineStr">
        <is>
          <t>SUK-5790</t>
        </is>
      </c>
      <c r="D87" s="10" t="inlineStr">
        <is>
          <t>SUK-5790 VOP Improvements  - 2025</t>
        </is>
      </c>
      <c r="E87" s="10" t="inlineStr">
        <is>
          <t>SUK-5862</t>
        </is>
      </c>
      <c r="F87" s="10" t="inlineStr">
        <is>
          <t>[VOP-Outbound][VOP-Inbound] Multi region pend</t>
        </is>
      </c>
      <c r="G87" s="20" t="n">
        <v>7.6952</v>
      </c>
    </row>
    <row r="88">
      <c r="A88" s="10" t="inlineStr">
        <is>
          <t>Team Horizon</t>
        </is>
      </c>
      <c r="B88" s="10" t="inlineStr">
        <is>
          <t>Sanjay Chaudhary</t>
        </is>
      </c>
      <c r="C88" s="10" t="inlineStr">
        <is>
          <t>SUK-5790</t>
        </is>
      </c>
      <c r="D88" s="10" t="inlineStr">
        <is>
          <t>SUK-5790 VOP Improvements  - 2025</t>
        </is>
      </c>
      <c r="E88" s="10" t="inlineStr">
        <is>
          <t>SUK-5843</t>
        </is>
      </c>
      <c r="F88" s="10" t="inlineStr">
        <is>
          <t>Multi Region Deploy only QWAC KMS Key to cent</t>
        </is>
      </c>
      <c r="G88" s="20" t="n">
        <v>2.1429</v>
      </c>
    </row>
    <row r="89">
      <c r="A89" s="10" t="inlineStr">
        <is>
          <t>Team Horizon</t>
        </is>
      </c>
      <c r="B89" s="10" t="inlineStr">
        <is>
          <t>Sanjay Chaudhary</t>
        </is>
      </c>
      <c r="C89" s="10" t="inlineStr">
        <is>
          <t>SUK-5790</t>
        </is>
      </c>
      <c r="D89" s="10" t="inlineStr">
        <is>
          <t>SUK-5790 VOP Improvements  - 2025</t>
        </is>
      </c>
      <c r="E89" s="10" t="inlineStr">
        <is>
          <t>SUK-5826</t>
        </is>
      </c>
      <c r="F89" s="10" t="inlineStr">
        <is>
          <t>WAF Allow request from specific source ips fr</t>
        </is>
      </c>
      <c r="G89" s="20" t="n">
        <v>2</v>
      </c>
    </row>
    <row r="90">
      <c r="A90" s="10" t="inlineStr">
        <is>
          <t>Team Horizon</t>
        </is>
      </c>
      <c r="B90" s="10" t="inlineStr">
        <is>
          <t>Sanjay Chaudhary</t>
        </is>
      </c>
      <c r="C90" s="10" t="inlineStr">
        <is>
          <t>SUK-5790</t>
        </is>
      </c>
      <c r="D90" s="10" t="inlineStr">
        <is>
          <t>SUK-5790 VOP Improvements  - 2025</t>
        </is>
      </c>
      <c r="E90" s="10" t="inlineStr">
        <is>
          <t>SUK-5754</t>
        </is>
      </c>
      <c r="F90" s="10" t="inlineStr">
        <is>
          <t>[VOP-Inbound] Update network architecture dia</t>
        </is>
      </c>
      <c r="G90" s="20" t="n">
        <v>0.7272999999999999</v>
      </c>
    </row>
    <row r="91">
      <c r="A91" s="10" t="inlineStr">
        <is>
          <t>Team Horizon</t>
        </is>
      </c>
      <c r="B91" s="10" t="inlineStr">
        <is>
          <t>Sanjay Chaudhary</t>
        </is>
      </c>
      <c r="C91" s="10" t="inlineStr">
        <is>
          <t>SUK-5790</t>
        </is>
      </c>
      <c r="D91" s="10" t="inlineStr">
        <is>
          <t>SUK-5790 VOP Improvements  - 2025</t>
        </is>
      </c>
      <c r="E91" s="10" t="inlineStr">
        <is>
          <t>SUK-5755</t>
        </is>
      </c>
      <c r="F91" s="10" t="inlineStr">
        <is>
          <t>VOP Outbound Adapter : Update network archite</t>
        </is>
      </c>
      <c r="G91" s="20" t="n">
        <v>0.7272999999999999</v>
      </c>
    </row>
    <row r="92">
      <c r="A92" s="10" t="inlineStr">
        <is>
          <t>Team Horizon</t>
        </is>
      </c>
      <c r="B92" s="10" t="inlineStr">
        <is>
          <t>Nikolay Antonov</t>
        </is>
      </c>
      <c r="C92" s="10" t="inlineStr">
        <is>
          <t>SUK-5790</t>
        </is>
      </c>
      <c r="D92" s="10" t="inlineStr">
        <is>
          <t>SUK-5790 VOP Improvements  - 2025</t>
        </is>
      </c>
      <c r="E92" s="10" t="inlineStr">
        <is>
          <t>SUK-5836</t>
        </is>
      </c>
      <c r="F92" s="10" t="inlineStr">
        <is>
          <t>[VOP-Outbound] Create Release Runbook on conf</t>
        </is>
      </c>
      <c r="G92" s="20" t="n">
        <v>8.685700000000001</v>
      </c>
    </row>
    <row r="93">
      <c r="A93" s="10" t="inlineStr">
        <is>
          <t>Team Horizon</t>
        </is>
      </c>
      <c r="B93" s="10" t="inlineStr">
        <is>
          <t>Nikolay Antonov</t>
        </is>
      </c>
      <c r="C93" s="10" t="inlineStr">
        <is>
          <t>SUK-5790</t>
        </is>
      </c>
      <c r="D93" s="10" t="inlineStr">
        <is>
          <t>SUK-5790 VOP Improvements  - 2025</t>
        </is>
      </c>
      <c r="E93" s="10" t="inlineStr">
        <is>
          <t>SUK-5839</t>
        </is>
      </c>
      <c r="F93" s="10" t="inlineStr">
        <is>
          <t>[VOP-Automation-Lambda] Create Release Runboo</t>
        </is>
      </c>
      <c r="G93" s="20" t="n">
        <v>3.8857</v>
      </c>
    </row>
    <row r="94">
      <c r="A94" s="10" t="inlineStr">
        <is>
          <t>Team Horizon</t>
        </is>
      </c>
      <c r="B94" s="10" t="inlineStr">
        <is>
          <t>Nikolay Antonov</t>
        </is>
      </c>
      <c r="C94" s="10" t="inlineStr">
        <is>
          <t>SUK-5790</t>
        </is>
      </c>
      <c r="D94" s="10" t="inlineStr">
        <is>
          <t>SUK-5790 VOP Improvements  - 2025</t>
        </is>
      </c>
      <c r="E94" s="10" t="inlineStr">
        <is>
          <t>SUK-5837</t>
        </is>
      </c>
      <c r="F94" s="10" t="inlineStr">
        <is>
          <t>[VOP-Inbound] Create Release Runbook on confl</t>
        </is>
      </c>
      <c r="G94" s="20" t="n">
        <v>2.2857</v>
      </c>
    </row>
    <row r="95">
      <c r="A95" s="10" t="inlineStr">
        <is>
          <t>Team Ikigai</t>
        </is>
      </c>
      <c r="B95" s="10" t="inlineStr">
        <is>
          <t>borys.rudenko</t>
        </is>
      </c>
      <c r="C95" s="10" t="inlineStr">
        <is>
          <t>SDO-7745</t>
        </is>
      </c>
      <c r="D95" s="10" t="inlineStr">
        <is>
          <t>SDO-7745 UnstructuredRemittanceInformation</t>
        </is>
      </c>
      <c r="E95" s="10" t="inlineStr">
        <is>
          <t>SPD-3311</t>
        </is>
      </c>
      <c r="F95" s="10" t="inlineStr">
        <is>
          <t xml:space="preserve">Get URI solution to PRD </t>
        </is>
      </c>
      <c r="G95" s="20" t="n">
        <v>104</v>
      </c>
    </row>
    <row r="96">
      <c r="A96" s="10" t="inlineStr">
        <is>
          <t>Team Ikigai</t>
        </is>
      </c>
      <c r="B96" s="10" t="inlineStr">
        <is>
          <t>borys.rudenko</t>
        </is>
      </c>
      <c r="C96" s="10" t="inlineStr">
        <is>
          <t>SDO-7745</t>
        </is>
      </c>
      <c r="D96" s="10" t="inlineStr">
        <is>
          <t>SDO-7745 UnstructuredRemittanceInformation</t>
        </is>
      </c>
      <c r="E96" s="10" t="inlineStr">
        <is>
          <t>SPD-3346</t>
        </is>
      </c>
      <c r="F96" s="10" t="inlineStr">
        <is>
          <t>Unstructured Remittance Information post rele</t>
        </is>
      </c>
      <c r="G96" s="20" t="n">
        <v>32</v>
      </c>
    </row>
    <row r="97">
      <c r="A97" s="10" t="inlineStr">
        <is>
          <t>Team Ikigai</t>
        </is>
      </c>
      <c r="B97" s="10" t="inlineStr">
        <is>
          <t>borys.rudenko</t>
        </is>
      </c>
      <c r="C97" s="10" t="inlineStr">
        <is>
          <t>SDO-7745</t>
        </is>
      </c>
      <c r="D97" s="10" t="inlineStr">
        <is>
          <t>SDO-7745 UnstructuredRemittanceInformation</t>
        </is>
      </c>
      <c r="E97" s="10" t="inlineStr">
        <is>
          <t>SPD-3347</t>
        </is>
      </c>
      <c r="F97" s="10" t="inlineStr">
        <is>
          <t>Refresh index async to avoid possible timeout</t>
        </is>
      </c>
      <c r="G97" s="20" t="n">
        <v>16</v>
      </c>
    </row>
    <row r="98">
      <c r="A98" s="10" t="inlineStr">
        <is>
          <t>Team Ikigai</t>
        </is>
      </c>
      <c r="B98" s="10" t="inlineStr">
        <is>
          <t>borys.rudenko</t>
        </is>
      </c>
      <c r="C98" s="10" t="inlineStr">
        <is>
          <t>SDO-7745</t>
        </is>
      </c>
      <c r="D98" s="10" t="inlineStr">
        <is>
          <t>SDO-7745 UnstructuredRemittanceInformation</t>
        </is>
      </c>
      <c r="E98" s="10" t="inlineStr">
        <is>
          <t>SPD-3348</t>
        </is>
      </c>
      <c r="F98" s="10" t="inlineStr">
        <is>
          <t>Add force merge on ingestion</t>
        </is>
      </c>
      <c r="G98" s="20" t="n">
        <v>16</v>
      </c>
    </row>
    <row r="99">
      <c r="A99" s="10" t="inlineStr">
        <is>
          <t>Team Ikigai</t>
        </is>
      </c>
      <c r="B99" s="10" t="inlineStr">
        <is>
          <t>borys.rudenko</t>
        </is>
      </c>
      <c r="C99" s="10" t="inlineStr">
        <is>
          <t>SDO-7745</t>
        </is>
      </c>
      <c r="D99" s="10" t="inlineStr">
        <is>
          <t>SDO-7745 UnstructuredRemittanceInformation</t>
        </is>
      </c>
      <c r="E99" s="10" t="inlineStr">
        <is>
          <t>SPD-3349</t>
        </is>
      </c>
      <c r="F99" s="10" t="inlineStr">
        <is>
          <t>Search for an IBAN on the index created to en</t>
        </is>
      </c>
      <c r="G99" s="20" t="n">
        <v>16</v>
      </c>
    </row>
    <row r="100">
      <c r="A100" s="10" t="inlineStr">
        <is>
          <t>Team Ikigai</t>
        </is>
      </c>
      <c r="B100" s="10" t="inlineStr">
        <is>
          <t>Diego Silva</t>
        </is>
      </c>
      <c r="C100" s="10" t="inlineStr">
        <is>
          <t>SPD-2749</t>
        </is>
      </c>
      <c r="D100" s="10" t="inlineStr">
        <is>
          <t>SPD-2749 VoP Data Hosting Ingester v1</t>
        </is>
      </c>
      <c r="E100" s="10" t="inlineStr">
        <is>
          <t>SPD-2828</t>
        </is>
      </c>
      <c r="F100" s="10" t="inlineStr">
        <is>
          <t xml:space="preserve">ECS Cluster Documentation </t>
        </is>
      </c>
      <c r="G100" s="20" t="n">
        <v>184</v>
      </c>
    </row>
    <row r="101">
      <c r="A101" s="10" t="inlineStr">
        <is>
          <t>Team Ikigai</t>
        </is>
      </c>
      <c r="B101" s="10" t="inlineStr">
        <is>
          <t>Sridhar Gnanasekaran</t>
        </is>
      </c>
      <c r="C101" s="10" t="inlineStr">
        <is>
          <t>SPD-2834</t>
        </is>
      </c>
      <c r="D101" s="10" t="inlineStr">
        <is>
          <t>SPD-2834 VoP Data Hosting Iteration 2</t>
        </is>
      </c>
      <c r="E101" s="10" t="inlineStr">
        <is>
          <t>SPD-3158</t>
        </is>
      </c>
      <c r="F101" s="10" t="inlineStr">
        <is>
          <t>Performance test UnstructuredRemittanceInform</t>
        </is>
      </c>
      <c r="G101" s="20" t="n">
        <v>120</v>
      </c>
    </row>
    <row r="102">
      <c r="A102" s="10" t="inlineStr">
        <is>
          <t>Team Ikigai</t>
        </is>
      </c>
      <c r="B102" s="10" t="inlineStr">
        <is>
          <t>Keerthi Shankar</t>
        </is>
      </c>
      <c r="C102" s="10" t="inlineStr">
        <is>
          <t>SPD-3012</t>
        </is>
      </c>
      <c r="D102" s="10" t="inlineStr">
        <is>
          <t>SPD-3012 VoP Bulk Checker Iteration 2</t>
        </is>
      </c>
      <c r="E102" s="10" t="inlineStr">
        <is>
          <t>SPD-3238</t>
        </is>
      </c>
      <c r="F102" s="10" t="inlineStr">
        <is>
          <t xml:space="preserve">Adjust VoP Bulk Checker audit log connection </t>
        </is>
      </c>
      <c r="G102" s="20" t="n">
        <v>16</v>
      </c>
    </row>
    <row r="103">
      <c r="A103" s="10" t="inlineStr">
        <is>
          <t>Team Ikigai</t>
        </is>
      </c>
      <c r="B103" s="10" t="inlineStr">
        <is>
          <t>Keerthi Shankar</t>
        </is>
      </c>
      <c r="C103" s="10" t="inlineStr">
        <is>
          <t>SPD-3012</t>
        </is>
      </c>
      <c r="D103" s="10" t="inlineStr">
        <is>
          <t>SPD-3012 VoP Bulk Checker Iteration 2</t>
        </is>
      </c>
      <c r="E103" s="10" t="inlineStr">
        <is>
          <t>SPD-3224</t>
        </is>
      </c>
      <c r="F103" s="10" t="inlineStr">
        <is>
          <t>PAIN format: cannot specify other org ID sinc</t>
        </is>
      </c>
      <c r="G103" s="20" t="n">
        <v>8</v>
      </c>
    </row>
    <row r="104">
      <c r="A104" s="10" t="inlineStr">
        <is>
          <t>Team Ikigai</t>
        </is>
      </c>
      <c r="B104" s="10" t="inlineStr">
        <is>
          <t>Keerthi Shankar</t>
        </is>
      </c>
      <c r="C104" s="10" t="inlineStr">
        <is>
          <t>SPD-3012</t>
        </is>
      </c>
      <c r="D104" s="10" t="inlineStr">
        <is>
          <t>SPD-3012 VoP Bulk Checker Iteration 2</t>
        </is>
      </c>
      <c r="E104" s="10" t="inlineStr">
        <is>
          <t>SPD-3361</t>
        </is>
      </c>
      <c r="F104" s="10" t="inlineStr">
        <is>
          <t>Remove the validation on user-agent header fr</t>
        </is>
      </c>
      <c r="G104" s="20" t="n">
        <v>4</v>
      </c>
    </row>
    <row r="105">
      <c r="A105" s="10" t="inlineStr">
        <is>
          <t>Team Ikigai</t>
        </is>
      </c>
      <c r="B105" s="10" t="inlineStr">
        <is>
          <t>Keerthi Shankar</t>
        </is>
      </c>
      <c r="C105" s="10" t="inlineStr">
        <is>
          <t>SPD-3341</t>
        </is>
      </c>
      <c r="D105" s="10" t="inlineStr">
        <is>
          <t>SPD-3341 VoP Data Hosting</t>
        </is>
      </c>
      <c r="E105" s="10" t="inlineStr">
        <is>
          <t>SPD-3340</t>
        </is>
      </c>
      <c r="F105" s="10" t="inlineStr">
        <is>
          <t>SFTP File Alerting</t>
        </is>
      </c>
      <c r="G105" s="20" t="n">
        <v>40</v>
      </c>
    </row>
    <row r="106">
      <c r="A106" s="10" t="inlineStr">
        <is>
          <t>Team Ikigai</t>
        </is>
      </c>
      <c r="B106" s="10" t="inlineStr">
        <is>
          <t>Keerthi Shankar</t>
        </is>
      </c>
      <c r="C106" s="10" t="inlineStr">
        <is>
          <t>SPD-3341</t>
        </is>
      </c>
      <c r="D106" s="10" t="inlineStr">
        <is>
          <t>SPD-3341 VoP Data Hosting</t>
        </is>
      </c>
      <c r="E106" s="10" t="inlineStr">
        <is>
          <t>SPD-3342</t>
        </is>
      </c>
      <c r="F106" s="10" t="inlineStr">
        <is>
          <t xml:space="preserve">Allow one letter in AllFirstNames </t>
        </is>
      </c>
      <c r="G106" s="20" t="n">
        <v>19.3333</v>
      </c>
    </row>
    <row r="107">
      <c r="A107" s="10" t="inlineStr">
        <is>
          <t>Team Ikigai</t>
        </is>
      </c>
      <c r="B107" s="10" t="inlineStr">
        <is>
          <t>Keerthi Shankar</t>
        </is>
      </c>
      <c r="C107" s="10" t="inlineStr">
        <is>
          <t>SPD-3368</t>
        </is>
      </c>
      <c r="D107" s="10" t="inlineStr">
        <is>
          <t>SPD-3368 VoP Bulk Checker v1.1</t>
        </is>
      </c>
      <c r="E107" s="10" t="inlineStr">
        <is>
          <t>SPD-3367</t>
        </is>
      </c>
      <c r="F107" s="10" t="inlineStr">
        <is>
          <t>Add Benificiary Bank BIC to Excel format</t>
        </is>
      </c>
      <c r="G107" s="20" t="n">
        <v>24</v>
      </c>
    </row>
    <row r="108">
      <c r="A108" s="10" t="inlineStr">
        <is>
          <t>Team Ikigai</t>
        </is>
      </c>
      <c r="B108" s="10" t="inlineStr">
        <is>
          <t>Keerthi Shankar</t>
        </is>
      </c>
      <c r="C108" s="10" t="inlineStr">
        <is>
          <t>SPD-3381</t>
        </is>
      </c>
      <c r="D108" s="10" t="inlineStr">
        <is>
          <t>SPD-3381 Multi Region</t>
        </is>
      </c>
      <c r="E108" s="10" t="inlineStr">
        <is>
          <t>SPD-3382</t>
        </is>
      </c>
      <c r="F108" s="10" t="inlineStr">
        <is>
          <t>Agree on scope of Multi Region</t>
        </is>
      </c>
      <c r="G108" s="20" t="n">
        <v>6.6667</v>
      </c>
    </row>
    <row r="109">
      <c r="A109" s="10" t="inlineStr">
        <is>
          <t>Team Ikigai</t>
        </is>
      </c>
      <c r="B109" s="10" t="inlineStr">
        <is>
          <t>Chaitanya Sagi</t>
        </is>
      </c>
      <c r="C109" s="10" t="inlineStr">
        <is>
          <t>SPD-3012</t>
        </is>
      </c>
      <c r="D109" s="10" t="inlineStr">
        <is>
          <t>SPD-3012 VoP Bulk Checker Iteration 2</t>
        </is>
      </c>
      <c r="E109" s="10" t="inlineStr">
        <is>
          <t>SPD-3343</t>
        </is>
      </c>
      <c r="F109" s="10" t="inlineStr">
        <is>
          <t>[INFRA] reduce duplication for regions in env</t>
        </is>
      </c>
      <c r="G109" s="20" t="n">
        <v>80</v>
      </c>
    </row>
    <row r="110">
      <c r="A110" s="10" t="inlineStr">
        <is>
          <t>Team Ikigai</t>
        </is>
      </c>
      <c r="B110" s="10" t="inlineStr">
        <is>
          <t>Chaitanya Sagi</t>
        </is>
      </c>
      <c r="C110" s="10" t="inlineStr">
        <is>
          <t>SPD-3012</t>
        </is>
      </c>
      <c r="D110" s="10" t="inlineStr">
        <is>
          <t>SPD-3012 VoP Bulk Checker Iteration 2</t>
        </is>
      </c>
      <c r="E110" s="10" t="inlineStr">
        <is>
          <t>SPD-3320</t>
        </is>
      </c>
      <c r="F110" s="10" t="inlineStr">
        <is>
          <t xml:space="preserve">Apigee X to WAF vop bulk check whitelisting </t>
        </is>
      </c>
      <c r="G110" s="20" t="n">
        <v>10</v>
      </c>
    </row>
    <row r="111">
      <c r="A111" s="10" t="inlineStr">
        <is>
          <t>Team Ikigai</t>
        </is>
      </c>
      <c r="B111" s="10" t="inlineStr">
        <is>
          <t>Chaitanya Sagi</t>
        </is>
      </c>
      <c r="C111" s="10" t="inlineStr">
        <is>
          <t>SPD-3012</t>
        </is>
      </c>
      <c r="D111" s="10" t="inlineStr">
        <is>
          <t>SPD-3012 VoP Bulk Checker Iteration 2</t>
        </is>
      </c>
      <c r="E111" s="10" t="inlineStr">
        <is>
          <t>SPD-3330</t>
        </is>
      </c>
      <c r="F111" s="10" t="inlineStr">
        <is>
          <t>Fix route53 dns of bulk.tst.surepay.io with n</t>
        </is>
      </c>
      <c r="G111" s="20" t="n">
        <v>5.6</v>
      </c>
    </row>
    <row r="112">
      <c r="A112" s="10" t="inlineStr">
        <is>
          <t>Team Ikigai</t>
        </is>
      </c>
      <c r="B112" s="10" t="inlineStr">
        <is>
          <t>Chaitanya Sagi</t>
        </is>
      </c>
      <c r="C112" s="10" t="inlineStr">
        <is>
          <t>SPD-3381</t>
        </is>
      </c>
      <c r="D112" s="10" t="inlineStr">
        <is>
          <t>SPD-3381 Multi Region</t>
        </is>
      </c>
      <c r="E112" s="10" t="inlineStr">
        <is>
          <t>SPD-3391</t>
        </is>
      </c>
      <c r="F112" s="10" t="inlineStr">
        <is>
          <t>[INFRA] reduce duplication for regions in env</t>
        </is>
      </c>
      <c r="G112" s="20" t="n">
        <v>12.6667</v>
      </c>
    </row>
    <row r="113">
      <c r="A113" s="10" t="inlineStr">
        <is>
          <t>Team Ikigai</t>
        </is>
      </c>
      <c r="B113" s="10" t="inlineStr">
        <is>
          <t>Gerard Veldman</t>
        </is>
      </c>
      <c r="C113" s="10" t="inlineStr">
        <is>
          <t>SPD-1732</t>
        </is>
      </c>
      <c r="D113" s="10" t="inlineStr">
        <is>
          <t>SPD-1732 Corporate Bulk Checker</t>
        </is>
      </c>
      <c r="E113" s="10" t="inlineStr">
        <is>
          <t>SPD-3384</t>
        </is>
      </c>
      <c r="F113" s="10" t="inlineStr">
        <is>
          <t>Addition of three fields for the Corporate Bu</t>
        </is>
      </c>
      <c r="G113" s="20" t="n">
        <v>1.6</v>
      </c>
    </row>
    <row r="114">
      <c r="A114" s="10" t="inlineStr">
        <is>
          <t>Team Ikigai</t>
        </is>
      </c>
      <c r="B114" s="10" t="inlineStr">
        <is>
          <t>Gerard Veldman</t>
        </is>
      </c>
      <c r="C114" s="10" t="inlineStr">
        <is>
          <t>SPD-3012</t>
        </is>
      </c>
      <c r="D114" s="10" t="inlineStr">
        <is>
          <t>SPD-3012 VoP Bulk Checker Iteration 2</t>
        </is>
      </c>
      <c r="E114" s="10" t="inlineStr">
        <is>
          <t>SPD-3219</t>
        </is>
      </c>
      <c r="F114" s="10" t="inlineStr">
        <is>
          <t>Invalid scheme code name provided in bulk req</t>
        </is>
      </c>
      <c r="G114" s="20" t="n">
        <v>10.2095</v>
      </c>
    </row>
    <row r="115">
      <c r="A115" s="10" t="inlineStr">
        <is>
          <t>Team Ikigai</t>
        </is>
      </c>
      <c r="B115" s="10" t="inlineStr">
        <is>
          <t>Gerard Veldman</t>
        </is>
      </c>
      <c r="C115" s="10" t="inlineStr">
        <is>
          <t>SPD-3012</t>
        </is>
      </c>
      <c r="D115" s="10" t="inlineStr">
        <is>
          <t>SPD-3012 VoP Bulk Checker Iteration 2</t>
        </is>
      </c>
      <c r="E115" s="10" t="inlineStr">
        <is>
          <t>SPD-3207</t>
        </is>
      </c>
      <c r="F115" s="10" t="inlineStr">
        <is>
          <t>Report invalid headers for CSV</t>
        </is>
      </c>
      <c r="G115" s="20" t="n">
        <v>8.609500000000001</v>
      </c>
    </row>
    <row r="116">
      <c r="A116" s="10" t="inlineStr">
        <is>
          <t>Team Ikigai</t>
        </is>
      </c>
      <c r="B116" s="10" t="inlineStr">
        <is>
          <t>Gerard Veldman</t>
        </is>
      </c>
      <c r="C116" s="10" t="inlineStr">
        <is>
          <t>SPD-3012</t>
        </is>
      </c>
      <c r="D116" s="10" t="inlineStr">
        <is>
          <t>SPD-3012 VoP Bulk Checker Iteration 2</t>
        </is>
      </c>
      <c r="E116" s="10" t="inlineStr">
        <is>
          <t>SPD-3201</t>
        </is>
      </c>
      <c r="F116" s="10" t="inlineStr">
        <is>
          <t>Handle empty CSV / XML file the same way as N</t>
        </is>
      </c>
      <c r="G116" s="20" t="n">
        <v>4.5333</v>
      </c>
    </row>
    <row r="117">
      <c r="A117" s="10" t="inlineStr">
        <is>
          <t>Team Ikigai</t>
        </is>
      </c>
      <c r="B117" s="10" t="inlineStr">
        <is>
          <t>Gerard Veldman</t>
        </is>
      </c>
      <c r="C117" s="10" t="inlineStr">
        <is>
          <t>SPD-3012</t>
        </is>
      </c>
      <c r="D117" s="10" t="inlineStr">
        <is>
          <t>SPD-3012 VoP Bulk Checker Iteration 2</t>
        </is>
      </c>
      <c r="E117" s="10" t="inlineStr">
        <is>
          <t>SPD-3282</t>
        </is>
      </c>
      <c r="F117" s="10" t="inlineStr">
        <is>
          <t>Support VoP Plus for CSV and Excel formats</t>
        </is>
      </c>
      <c r="G117" s="20" t="n">
        <v>4.5333</v>
      </c>
    </row>
    <row r="118">
      <c r="A118" s="10" t="inlineStr">
        <is>
          <t>Team Ikigai</t>
        </is>
      </c>
      <c r="B118" s="10" t="inlineStr">
        <is>
          <t>Gerard Veldman</t>
        </is>
      </c>
      <c r="C118" s="10" t="inlineStr">
        <is>
          <t>SPD-3012</t>
        </is>
      </c>
      <c r="D118" s="10" t="inlineStr">
        <is>
          <t>SPD-3012 VoP Bulk Checker Iteration 2</t>
        </is>
      </c>
      <c r="E118" s="10" t="inlineStr">
        <is>
          <t>SPD-3301</t>
        </is>
      </c>
      <c r="F118" s="10" t="inlineStr">
        <is>
          <t>CSV file format improvements Must haves</t>
        </is>
      </c>
      <c r="G118" s="20" t="n">
        <v>4.5333</v>
      </c>
    </row>
    <row r="119">
      <c r="A119" s="10" t="inlineStr">
        <is>
          <t>Team Ikigai</t>
        </is>
      </c>
      <c r="B119" s="10" t="inlineStr">
        <is>
          <t>Gerard Veldman</t>
        </is>
      </c>
      <c r="C119" s="10" t="inlineStr">
        <is>
          <t>SPD-3012</t>
        </is>
      </c>
      <c r="D119" s="10" t="inlineStr">
        <is>
          <t>SPD-3012 VoP Bulk Checker Iteration 2</t>
        </is>
      </c>
      <c r="E119" s="10" t="inlineStr">
        <is>
          <t>SPD-3331</t>
        </is>
      </c>
      <c r="F119" s="10" t="inlineStr">
        <is>
          <t>Add fields to audit for populating dashboard</t>
        </is>
      </c>
      <c r="G119" s="20" t="n">
        <v>4</v>
      </c>
    </row>
    <row r="120">
      <c r="A120" s="10" t="inlineStr">
        <is>
          <t>Team Ikigai</t>
        </is>
      </c>
      <c r="B120" s="10" t="inlineStr">
        <is>
          <t>Gerard Veldman</t>
        </is>
      </c>
      <c r="C120" s="10" t="inlineStr">
        <is>
          <t>SPD-3012</t>
        </is>
      </c>
      <c r="D120" s="10" t="inlineStr">
        <is>
          <t>SPD-3012 VoP Bulk Checker Iteration 2</t>
        </is>
      </c>
      <c r="E120" s="10" t="inlineStr">
        <is>
          <t>SPD-3220</t>
        </is>
      </c>
      <c r="F120" s="10" t="inlineStr">
        <is>
          <t>Beneficiary Other ORG ID not provided when sc</t>
        </is>
      </c>
      <c r="G120" s="20" t="n">
        <v>3.6</v>
      </c>
    </row>
    <row r="121">
      <c r="A121" s="10" t="inlineStr">
        <is>
          <t>Team Ikigai</t>
        </is>
      </c>
      <c r="B121" s="10" t="inlineStr">
        <is>
          <t>Gerard Veldman</t>
        </is>
      </c>
      <c r="C121" s="10" t="inlineStr">
        <is>
          <t>SPD-3012</t>
        </is>
      </c>
      <c r="D121" s="10" t="inlineStr">
        <is>
          <t>SPD-3012 VoP Bulk Checker Iteration 2</t>
        </is>
      </c>
      <c r="E121" s="10" t="inlineStr">
        <is>
          <t>SPD-3365</t>
        </is>
      </c>
      <c r="F121" s="10" t="inlineStr">
        <is>
          <t>Release VoP Bulk Checker 1.9.1</t>
        </is>
      </c>
      <c r="G121" s="20" t="n">
        <v>2.4762</v>
      </c>
    </row>
    <row r="122">
      <c r="A122" s="10" t="inlineStr">
        <is>
          <t>Team Ikigai</t>
        </is>
      </c>
      <c r="B122" s="10" t="inlineStr">
        <is>
          <t>Gerard Veldman</t>
        </is>
      </c>
      <c r="C122" s="10" t="inlineStr">
        <is>
          <t>SPD-3012</t>
        </is>
      </c>
      <c r="D122" s="10" t="inlineStr">
        <is>
          <t>SPD-3012 VoP Bulk Checker Iteration 2</t>
        </is>
      </c>
      <c r="E122" s="10" t="inlineStr">
        <is>
          <t>SPD-3345</t>
        </is>
      </c>
      <c r="F122" s="10" t="inlineStr">
        <is>
          <t>Add tenant/taskId context to failing vop gate</t>
        </is>
      </c>
      <c r="G122" s="20" t="n">
        <v>2</v>
      </c>
    </row>
    <row r="123">
      <c r="A123" s="10" t="inlineStr">
        <is>
          <t>Team Ikigai</t>
        </is>
      </c>
      <c r="B123" s="10" t="inlineStr">
        <is>
          <t>Gerard Veldman</t>
        </is>
      </c>
      <c r="C123" s="10" t="inlineStr">
        <is>
          <t>SPD-3012</t>
        </is>
      </c>
      <c r="D123" s="10" t="inlineStr">
        <is>
          <t>SPD-3012 VoP Bulk Checker Iteration 2</t>
        </is>
      </c>
      <c r="E123" s="10" t="inlineStr">
        <is>
          <t>SPD-3352</t>
        </is>
      </c>
      <c r="F123" s="10" t="inlineStr">
        <is>
          <t>Do not retry on vop gateway timeouts</t>
        </is>
      </c>
      <c r="G123" s="20" t="n">
        <v>2</v>
      </c>
    </row>
    <row r="124">
      <c r="A124" s="10" t="inlineStr">
        <is>
          <t>Team Ikigai</t>
        </is>
      </c>
      <c r="B124" s="10" t="inlineStr">
        <is>
          <t>Gerard Veldman</t>
        </is>
      </c>
      <c r="C124" s="10" t="inlineStr">
        <is>
          <t>SPD-3012</t>
        </is>
      </c>
      <c r="D124" s="10" t="inlineStr">
        <is>
          <t>SPD-3012 VoP Bulk Checker Iteration 2</t>
        </is>
      </c>
      <c r="E124" s="10" t="inlineStr">
        <is>
          <t>SPD-3357</t>
        </is>
      </c>
      <c r="F124" s="10" t="inlineStr">
        <is>
          <t>Windows-1252 file causes crash in converter</t>
        </is>
      </c>
      <c r="G124" s="20" t="n">
        <v>2</v>
      </c>
    </row>
    <row r="125">
      <c r="A125" s="10" t="inlineStr">
        <is>
          <t>Team Ikigai</t>
        </is>
      </c>
      <c r="B125" s="10" t="inlineStr">
        <is>
          <t>Gerard Veldman</t>
        </is>
      </c>
      <c r="C125" s="10" t="inlineStr">
        <is>
          <t>SPD-3012</t>
        </is>
      </c>
      <c r="D125" s="10" t="inlineStr">
        <is>
          <t>SPD-3012 VoP Bulk Checker Iteration 2</t>
        </is>
      </c>
      <c r="E125" s="10" t="inlineStr">
        <is>
          <t>SPD-3360</t>
        </is>
      </c>
      <c r="F125" s="10" t="inlineStr">
        <is>
          <t>Also trigger converters on multipart put</t>
        </is>
      </c>
      <c r="G125" s="20" t="n">
        <v>2</v>
      </c>
    </row>
    <row r="126">
      <c r="A126" s="10" t="inlineStr">
        <is>
          <t>Team Ikigai</t>
        </is>
      </c>
      <c r="B126" s="10" t="inlineStr">
        <is>
          <t>Gerard Veldman</t>
        </is>
      </c>
      <c r="C126" s="10" t="inlineStr">
        <is>
          <t>SPD-3012</t>
        </is>
      </c>
      <c r="D126" s="10" t="inlineStr">
        <is>
          <t>SPD-3012 VoP Bulk Checker Iteration 2</t>
        </is>
      </c>
      <c r="E126" s="10" t="inlineStr">
        <is>
          <t>SPD-3364</t>
        </is>
      </c>
      <c r="F126" s="10" t="inlineStr">
        <is>
          <t>XML file without whitespace not parsed correc</t>
        </is>
      </c>
      <c r="G126" s="20" t="n">
        <v>1.1429</v>
      </c>
    </row>
    <row r="127">
      <c r="A127" s="10" t="inlineStr">
        <is>
          <t>Team Ikigai</t>
        </is>
      </c>
      <c r="B127" s="10" t="inlineStr">
        <is>
          <t>Gerard Veldman</t>
        </is>
      </c>
      <c r="C127" s="10" t="inlineStr">
        <is>
          <t>SPD-3012</t>
        </is>
      </c>
      <c r="D127" s="10" t="inlineStr">
        <is>
          <t>SPD-3012 VoP Bulk Checker Iteration 2</t>
        </is>
      </c>
      <c r="E127" s="10" t="inlineStr">
        <is>
          <t>SPD-3292</t>
        </is>
      </c>
      <c r="F127" s="10" t="inlineStr">
        <is>
          <t xml:space="preserve">Support requestingAgent from "onboarding" if </t>
        </is>
      </c>
      <c r="G127" s="20" t="n">
        <v>1</v>
      </c>
    </row>
    <row r="128">
      <c r="A128" s="10" t="inlineStr">
        <is>
          <t>Team Ikigai</t>
        </is>
      </c>
      <c r="B128" s="10" t="inlineStr">
        <is>
          <t>Gerard Veldman</t>
        </is>
      </c>
      <c r="C128" s="10" t="inlineStr">
        <is>
          <t>SPD-3012</t>
        </is>
      </c>
      <c r="D128" s="10" t="inlineStr">
        <is>
          <t>SPD-3012 VoP Bulk Checker Iteration 2</t>
        </is>
      </c>
      <c r="E128" s="10" t="inlineStr">
        <is>
          <t>SPD-3355</t>
        </is>
      </c>
      <c r="F128" s="10" t="inlineStr">
        <is>
          <t>Excel file fails to read</t>
        </is>
      </c>
      <c r="G128" s="20" t="n">
        <v>1</v>
      </c>
    </row>
    <row r="129">
      <c r="A129" s="10" t="inlineStr">
        <is>
          <t>Team Ikigai</t>
        </is>
      </c>
      <c r="B129" s="10" t="inlineStr">
        <is>
          <t>Gerard Veldman</t>
        </is>
      </c>
      <c r="C129" s="10" t="inlineStr">
        <is>
          <t>SPD-3012</t>
        </is>
      </c>
      <c r="D129" s="10" t="inlineStr">
        <is>
          <t>SPD-3012 VoP Bulk Checker Iteration 2</t>
        </is>
      </c>
      <c r="E129" s="10" t="inlineStr">
        <is>
          <t>SPD-3359</t>
        </is>
      </c>
      <c r="F129" s="10" t="inlineStr">
        <is>
          <t>Debug task stuck in PROGRESS state</t>
        </is>
      </c>
      <c r="G129" s="20" t="n">
        <v>1</v>
      </c>
    </row>
    <row r="130">
      <c r="A130" s="10" t="inlineStr">
        <is>
          <t>Team Ikigai</t>
        </is>
      </c>
      <c r="B130" s="10" t="inlineStr">
        <is>
          <t>Gerard Veldman</t>
        </is>
      </c>
      <c r="C130" s="10" t="inlineStr">
        <is>
          <t>SPD-3012</t>
        </is>
      </c>
      <c r="D130" s="10" t="inlineStr">
        <is>
          <t>SPD-3012 VoP Bulk Checker Iteration 2</t>
        </is>
      </c>
      <c r="E130" s="10" t="inlineStr">
        <is>
          <t>SPD-3362</t>
        </is>
      </c>
      <c r="F130" s="10" t="inlineStr">
        <is>
          <t>Release bulk checker 1.9.0</t>
        </is>
      </c>
      <c r="G130" s="20" t="n">
        <v>1</v>
      </c>
    </row>
    <row r="131">
      <c r="A131" s="10" t="inlineStr">
        <is>
          <t>Team Ikigai</t>
        </is>
      </c>
      <c r="B131" s="10" t="inlineStr">
        <is>
          <t>Gerard Veldman</t>
        </is>
      </c>
      <c r="C131" s="10" t="inlineStr">
        <is>
          <t>SPD-3236</t>
        </is>
      </c>
      <c r="D131" s="10" t="inlineStr">
        <is>
          <t>SPD-3236 VoP Bulk Checker performance improvement</t>
        </is>
      </c>
      <c r="E131" s="10" t="inlineStr">
        <is>
          <t>SPD-3256</t>
        </is>
      </c>
      <c r="F131" s="10" t="inlineStr">
        <is>
          <t>Support rate limiting</t>
        </is>
      </c>
      <c r="G131" s="20" t="n">
        <v>41.0095</v>
      </c>
    </row>
    <row r="132">
      <c r="A132" s="10" t="inlineStr">
        <is>
          <t>Team Ikigai</t>
        </is>
      </c>
      <c r="B132" s="10" t="inlineStr">
        <is>
          <t>Juanma Tastzian</t>
        </is>
      </c>
      <c r="C132" s="10" t="inlineStr">
        <is>
          <t>SDO-7526</t>
        </is>
      </c>
      <c r="D132" s="10" t="inlineStr">
        <is>
          <t>SDO-7526 VOP Algorithm Improvements</t>
        </is>
      </c>
      <c r="E132" s="10" t="inlineStr">
        <is>
          <t>SPD-3371</t>
        </is>
      </c>
      <c r="F132" s="10" t="inlineStr">
        <is>
          <t>A043 Investigate the possibility to have mult</t>
        </is>
      </c>
      <c r="G132" s="20" t="n">
        <v>52</v>
      </c>
    </row>
    <row r="133">
      <c r="A133" s="10" t="inlineStr">
        <is>
          <t>Team Ikigai</t>
        </is>
      </c>
      <c r="B133" s="10" t="inlineStr">
        <is>
          <t>Juanma Tastzian</t>
        </is>
      </c>
      <c r="C133" s="10" t="inlineStr">
        <is>
          <t>SDO-7745</t>
        </is>
      </c>
      <c r="D133" s="10" t="inlineStr">
        <is>
          <t>SDO-7745 UnstructuredRemittanceInformation</t>
        </is>
      </c>
      <c r="E133" s="10" t="inlineStr">
        <is>
          <t>SPD-3350</t>
        </is>
      </c>
      <c r="F133" s="10" t="inlineStr">
        <is>
          <t xml:space="preserve">Document Unstructured Remittance Information </t>
        </is>
      </c>
      <c r="G133" s="20" t="n">
        <v>20</v>
      </c>
    </row>
    <row r="134">
      <c r="A134" s="10" t="inlineStr">
        <is>
          <t>Team Ikigai</t>
        </is>
      </c>
      <c r="B134" s="10" t="inlineStr">
        <is>
          <t>Juanma Tastzian</t>
        </is>
      </c>
      <c r="C134" s="10" t="inlineStr">
        <is>
          <t>SPD-2834</t>
        </is>
      </c>
      <c r="D134" s="10" t="inlineStr">
        <is>
          <t>SPD-2834 VoP Data Hosting Iteration 2</t>
        </is>
      </c>
      <c r="E134" s="10" t="inlineStr">
        <is>
          <t>SPD-3181</t>
        </is>
      </c>
      <c r="F134" s="10" t="inlineStr">
        <is>
          <t>Implement solution UnstructuredRemittance for</t>
        </is>
      </c>
      <c r="G134" s="20" t="n">
        <v>8</v>
      </c>
    </row>
    <row r="135">
      <c r="A135" s="10" t="inlineStr">
        <is>
          <t>Team Ikigai</t>
        </is>
      </c>
      <c r="B135" s="10" t="inlineStr">
        <is>
          <t>Juanma Tastzian</t>
        </is>
      </c>
      <c r="C135" s="10" t="inlineStr">
        <is>
          <t>SPD-2834</t>
        </is>
      </c>
      <c r="D135" s="10" t="inlineStr">
        <is>
          <t>SPD-2834 VoP Data Hosting Iteration 2</t>
        </is>
      </c>
      <c r="E135" s="10" t="inlineStr">
        <is>
          <t>SPD-3305</t>
        </is>
      </c>
      <c r="F135" s="10" t="inlineStr">
        <is>
          <t>Improvements after review and testing</t>
        </is>
      </c>
      <c r="G135" s="20" t="n">
        <v>8</v>
      </c>
    </row>
    <row r="136">
      <c r="A136" s="10" t="inlineStr">
        <is>
          <t>Team Ikigai</t>
        </is>
      </c>
      <c r="B136" s="10" t="inlineStr">
        <is>
          <t>Manali Shah</t>
        </is>
      </c>
      <c r="C136" s="10" t="inlineStr">
        <is>
          <t>SPD-2749</t>
        </is>
      </c>
      <c r="D136" s="10" t="inlineStr">
        <is>
          <t>SPD-2749 VoP Data Hosting Ingester v1</t>
        </is>
      </c>
      <c r="E136" s="10" t="inlineStr">
        <is>
          <t>SPD-3250</t>
        </is>
      </c>
      <c r="F136" s="10" t="inlineStr">
        <is>
          <t>Improve audit model for VoP Datahosting to av</t>
        </is>
      </c>
      <c r="G136" s="20" t="n">
        <v>12</v>
      </c>
    </row>
    <row r="137">
      <c r="A137" s="10" t="inlineStr">
        <is>
          <t>Team Ikigai</t>
        </is>
      </c>
      <c r="B137" s="10" t="inlineStr">
        <is>
          <t>Manali Shah</t>
        </is>
      </c>
      <c r="C137" s="10" t="inlineStr">
        <is>
          <t>SPD-2834</t>
        </is>
      </c>
      <c r="D137" s="10" t="inlineStr">
        <is>
          <t>SPD-2834 VoP Data Hosting Iteration 2</t>
        </is>
      </c>
      <c r="E137" s="10" t="inlineStr">
        <is>
          <t>SPD-3248</t>
        </is>
      </c>
      <c r="F137" s="10" t="inlineStr">
        <is>
          <t>Limit commercialNames to 140 characters</t>
        </is>
      </c>
      <c r="G137" s="20" t="n">
        <v>17.3333</v>
      </c>
    </row>
    <row r="138">
      <c r="A138" s="10" t="inlineStr">
        <is>
          <t>Team Ikigai</t>
        </is>
      </c>
      <c r="B138" s="10" t="inlineStr">
        <is>
          <t>Manali Shah</t>
        </is>
      </c>
      <c r="C138" s="10" t="inlineStr">
        <is>
          <t>SPD-3341</t>
        </is>
      </c>
      <c r="D138" s="10" t="inlineStr">
        <is>
          <t>SPD-3341 VoP Data Hosting</t>
        </is>
      </c>
      <c r="E138" s="10" t="inlineStr">
        <is>
          <t>SPD-3380</t>
        </is>
      </c>
      <c r="F138" s="10" t="inlineStr">
        <is>
          <t>Enable feature toggle to enforce 140 characte</t>
        </is>
      </c>
      <c r="G138" s="20" t="n">
        <v>4</v>
      </c>
    </row>
    <row r="139">
      <c r="A139" s="10" t="inlineStr">
        <is>
          <t>Team Ikigai</t>
        </is>
      </c>
      <c r="B139" s="10" t="inlineStr">
        <is>
          <t>Manali Shah</t>
        </is>
      </c>
      <c r="C139" s="10" t="inlineStr">
        <is>
          <t>SPD-3341</t>
        </is>
      </c>
      <c r="D139" s="10" t="inlineStr">
        <is>
          <t>SPD-3341 VoP Data Hosting</t>
        </is>
      </c>
      <c r="E139" s="10" t="inlineStr">
        <is>
          <t>SPD-3386</t>
        </is>
      </c>
      <c r="F139" s="10" t="inlineStr">
        <is>
          <t>Upgrade versions to resolve nexusiq vulnerabi</t>
        </is>
      </c>
      <c r="G139" s="20" t="n">
        <v>4</v>
      </c>
    </row>
    <row r="140">
      <c r="A140" s="10" t="inlineStr">
        <is>
          <t>Team Ikigai</t>
        </is>
      </c>
      <c r="B140" s="10" t="inlineStr">
        <is>
          <t>Tjibbe van Wier</t>
        </is>
      </c>
      <c r="C140" s="10" t="inlineStr">
        <is>
          <t>SPD-3094</t>
        </is>
      </c>
      <c r="D140" s="10" t="inlineStr">
        <is>
          <t>SPD-3094 VoP Algorithm IPR Ready</t>
        </is>
      </c>
      <c r="E140" s="10" t="inlineStr">
        <is>
          <t>SPD-3288</t>
        </is>
      </c>
      <c r="F140" s="10" t="inlineStr">
        <is>
          <t>Impact analysis on adding rules only for Bank</t>
        </is>
      </c>
      <c r="G140" s="20" t="n">
        <v>32</v>
      </c>
    </row>
    <row r="141">
      <c r="A141" s="10" t="inlineStr">
        <is>
          <t>Team Samba</t>
        </is>
      </c>
      <c r="B141" s="10" t="inlineStr">
        <is>
          <t>Sheik Farzand Razi</t>
        </is>
      </c>
      <c r="C141" s="10" t="inlineStr">
        <is>
          <t>SDO-4324</t>
        </is>
      </c>
      <c r="D141" s="10" t="inlineStr">
        <is>
          <t>SDO-4324 SWIFT Outbound/Inbound</t>
        </is>
      </c>
      <c r="E141" s="10" t="inlineStr">
        <is>
          <t>SDO-7924</t>
        </is>
      </c>
      <c r="F141" s="10" t="inlineStr">
        <is>
          <t>Swift outbound (RABO) certificate renewal</t>
        </is>
      </c>
      <c r="G141" s="20" t="n">
        <v>2.6667</v>
      </c>
    </row>
    <row r="142">
      <c r="A142" s="10" t="inlineStr">
        <is>
          <t>Team Samba</t>
        </is>
      </c>
      <c r="B142" s="10" t="inlineStr">
        <is>
          <t>Sheik Farzand Razi</t>
        </is>
      </c>
      <c r="C142" s="10" t="inlineStr">
        <is>
          <t>SDO-7622</t>
        </is>
      </c>
      <c r="D142" s="10" t="inlineStr">
        <is>
          <t>SDO-7622 VOP Performance investigation</t>
        </is>
      </c>
      <c r="E142" s="10" t="inlineStr">
        <is>
          <t>SDO-7792</t>
        </is>
      </c>
      <c r="F142" s="10" t="inlineStr">
        <is>
          <t>[Performance Enhancements] Fix CPU allocation</t>
        </is>
      </c>
      <c r="G142" s="20" t="n">
        <v>69.33329999999999</v>
      </c>
    </row>
    <row r="143">
      <c r="A143" s="10" t="inlineStr">
        <is>
          <t>Team Samba</t>
        </is>
      </c>
      <c r="B143" s="10" t="inlineStr">
        <is>
          <t>Sheik Farzand Razi</t>
        </is>
      </c>
      <c r="C143" s="10" t="inlineStr">
        <is>
          <t>SDO-7622</t>
        </is>
      </c>
      <c r="D143" s="10" t="inlineStr">
        <is>
          <t>SDO-7622 VOP Performance investigation</t>
        </is>
      </c>
      <c r="E143" s="10" t="inlineStr">
        <is>
          <t>SDO-7849</t>
        </is>
      </c>
      <c r="F143" s="10" t="inlineStr">
        <is>
          <t>Autoscaling of VOP</t>
        </is>
      </c>
      <c r="G143" s="20" t="n">
        <v>9.333299999999999</v>
      </c>
    </row>
    <row r="144">
      <c r="A144" s="10" t="inlineStr">
        <is>
          <t>Team Samba</t>
        </is>
      </c>
      <c r="B144" s="10" t="inlineStr">
        <is>
          <t>Sheik Farzand Razi</t>
        </is>
      </c>
      <c r="C144" s="10" t="inlineStr">
        <is>
          <t>SDO-7622</t>
        </is>
      </c>
      <c r="D144" s="10" t="inlineStr">
        <is>
          <t>SDO-7622 VOP Performance investigation</t>
        </is>
      </c>
      <c r="E144" s="10" t="inlineStr">
        <is>
          <t>SDO-7864</t>
        </is>
      </c>
      <c r="F144" s="10" t="inlineStr">
        <is>
          <t>Scale-up all instances of all components to 9</t>
        </is>
      </c>
      <c r="G144" s="20" t="n">
        <v>9.333299999999999</v>
      </c>
    </row>
    <row r="145">
      <c r="A145" s="10" t="inlineStr">
        <is>
          <t>Team Samba</t>
        </is>
      </c>
      <c r="B145" s="10" t="inlineStr">
        <is>
          <t>Sheik Farzand Razi</t>
        </is>
      </c>
      <c r="C145" s="10" t="inlineStr">
        <is>
          <t>SDO-7680</t>
        </is>
      </c>
      <c r="D145" s="10" t="inlineStr">
        <is>
          <t>SDO-7680 Multi region</t>
        </is>
      </c>
      <c r="E145" s="10" t="inlineStr">
        <is>
          <t>SDO-7790</t>
        </is>
      </c>
      <c r="F145" s="10" t="inlineStr">
        <is>
          <t>1. Make org-api multiregion - acceptance</t>
        </is>
      </c>
      <c r="G145" s="20" t="n">
        <v>44</v>
      </c>
    </row>
    <row r="146">
      <c r="A146" s="10" t="inlineStr">
        <is>
          <t>Team Samba</t>
        </is>
      </c>
      <c r="B146" s="10" t="inlineStr">
        <is>
          <t>Orwa Badran</t>
        </is>
      </c>
      <c r="C146" s="10" t="inlineStr">
        <is>
          <t>SDO-7438</t>
        </is>
      </c>
      <c r="D146" s="10" t="inlineStr">
        <is>
          <t>SDO-7438 VOP Gateway - Enhancements</t>
        </is>
      </c>
      <c r="E146" s="10" t="inlineStr">
        <is>
          <t>SDO-7851</t>
        </is>
      </c>
      <c r="F146" s="10" t="inlineStr">
        <is>
          <t>Implement the masking of credit card changes</t>
        </is>
      </c>
      <c r="G146" s="20" t="n">
        <v>39.1111</v>
      </c>
    </row>
    <row r="147">
      <c r="A147" s="10" t="inlineStr">
        <is>
          <t>Team Samba</t>
        </is>
      </c>
      <c r="B147" s="10" t="inlineStr">
        <is>
          <t>Orwa Badran</t>
        </is>
      </c>
      <c r="C147" s="10" t="inlineStr">
        <is>
          <t>SDO-7438</t>
        </is>
      </c>
      <c r="D147" s="10" t="inlineStr">
        <is>
          <t>SDO-7438 VOP Gateway - Enhancements</t>
        </is>
      </c>
      <c r="E147" s="10" t="inlineStr">
        <is>
          <t>SDO-7693</t>
        </is>
      </c>
      <c r="F147" s="10" t="inlineStr">
        <is>
          <t>Remove mapping for VoP Gateway for COID to EU</t>
        </is>
      </c>
      <c r="G147" s="20" t="n">
        <v>21.3333</v>
      </c>
    </row>
    <row r="148">
      <c r="A148" s="10" t="inlineStr">
        <is>
          <t>Team Samba</t>
        </is>
      </c>
      <c r="B148" s="10" t="inlineStr">
        <is>
          <t>Orwa Badran</t>
        </is>
      </c>
      <c r="C148" s="10" t="inlineStr">
        <is>
          <t>SDO-7438</t>
        </is>
      </c>
      <c r="D148" s="10" t="inlineStr">
        <is>
          <t>SDO-7438 VOP Gateway - Enhancements</t>
        </is>
      </c>
      <c r="E148" s="10" t="inlineStr">
        <is>
          <t>SDO-7906</t>
        </is>
      </c>
      <c r="F148" s="10" t="inlineStr">
        <is>
          <t>KVK Response - COULD NOT MTCH for the valid k</t>
        </is>
      </c>
      <c r="G148" s="20" t="n">
        <v>14.6667</v>
      </c>
    </row>
    <row r="149">
      <c r="A149" s="10" t="inlineStr">
        <is>
          <t>Team Samba</t>
        </is>
      </c>
      <c r="B149" s="10" t="inlineStr">
        <is>
          <t>Orwa Badran</t>
        </is>
      </c>
      <c r="C149" s="10" t="inlineStr">
        <is>
          <t>SDO-7622</t>
        </is>
      </c>
      <c r="D149" s="10" t="inlineStr">
        <is>
          <t>SDO-7622 VOP Performance investigation</t>
        </is>
      </c>
      <c r="E149" s="10" t="inlineStr">
        <is>
          <t>SDO-7690</t>
        </is>
      </c>
      <c r="F149" s="10" t="inlineStr">
        <is>
          <t>Use switchinfo config to only check elastic f</t>
        </is>
      </c>
      <c r="G149" s="20" t="n">
        <v>1.7778</v>
      </c>
    </row>
    <row r="150">
      <c r="A150" s="10" t="inlineStr">
        <is>
          <t>Team Samba</t>
        </is>
      </c>
      <c r="B150" s="10" t="inlineStr">
        <is>
          <t>Muhammad Sulaiman</t>
        </is>
      </c>
      <c r="C150" s="10" t="inlineStr">
        <is>
          <t>SDO-5021</t>
        </is>
      </c>
      <c r="D150" s="10" t="inlineStr">
        <is>
          <t xml:space="preserve">SDO-5021 Service Improvements </t>
        </is>
      </c>
      <c r="E150" s="10" t="inlineStr">
        <is>
          <t>SDO-7478</t>
        </is>
      </c>
      <c r="F150" s="10" t="inlineStr">
        <is>
          <t xml:space="preserve">[Automation] monitoring for certs created by </t>
        </is>
      </c>
      <c r="G150" s="20" t="n">
        <v>46.8508</v>
      </c>
    </row>
    <row r="151">
      <c r="A151" s="10" t="inlineStr">
        <is>
          <t>Team Samba</t>
        </is>
      </c>
      <c r="B151" s="10" t="inlineStr">
        <is>
          <t>Muhammad Sulaiman</t>
        </is>
      </c>
      <c r="C151" s="10" t="inlineStr">
        <is>
          <t>SDO-7622</t>
        </is>
      </c>
      <c r="D151" s="10" t="inlineStr">
        <is>
          <t>SDO-7622 VOP Performance investigation</t>
        </is>
      </c>
      <c r="E151" s="10" t="inlineStr">
        <is>
          <t>SDO-7865</t>
        </is>
      </c>
      <c r="F151" s="10" t="inlineStr">
        <is>
          <t>Enable ES monitoring stack for both audit clu</t>
        </is>
      </c>
      <c r="G151" s="20" t="n">
        <v>3.9333</v>
      </c>
    </row>
    <row r="152">
      <c r="A152" s="10" t="inlineStr">
        <is>
          <t>Team Samba</t>
        </is>
      </c>
      <c r="B152" s="10" t="inlineStr">
        <is>
          <t>Muhammad Sulaiman</t>
        </is>
      </c>
      <c r="C152" s="10" t="inlineStr">
        <is>
          <t>SDO-7680</t>
        </is>
      </c>
      <c r="D152" s="10" t="inlineStr">
        <is>
          <t>SDO-7680 Multi region</t>
        </is>
      </c>
      <c r="E152" s="10" t="inlineStr">
        <is>
          <t>SDO-7920</t>
        </is>
      </c>
      <c r="F152" s="10" t="inlineStr">
        <is>
          <t>Make bic-service multiregion deployment - pro</t>
        </is>
      </c>
      <c r="G152" s="20" t="n">
        <v>9.276199999999999</v>
      </c>
    </row>
    <row r="153">
      <c r="A153" s="10" t="inlineStr">
        <is>
          <t>Team Samba</t>
        </is>
      </c>
      <c r="B153" s="10" t="inlineStr">
        <is>
          <t>Muhammad Sulaiman</t>
        </is>
      </c>
      <c r="C153" s="10" t="inlineStr">
        <is>
          <t>SDO-7680</t>
        </is>
      </c>
      <c r="D153" s="10" t="inlineStr">
        <is>
          <t>SDO-7680 Multi region</t>
        </is>
      </c>
      <c r="E153" s="10" t="inlineStr">
        <is>
          <t>SDO-7791</t>
        </is>
      </c>
      <c r="F153" s="10" t="inlineStr">
        <is>
          <t xml:space="preserve">2. Make bic-service multiregion deployment - </t>
        </is>
      </c>
      <c r="G153" s="20" t="n">
        <v>7.2762</v>
      </c>
    </row>
    <row r="154">
      <c r="A154" s="10" t="inlineStr">
        <is>
          <t>Team Samba</t>
        </is>
      </c>
      <c r="B154" s="10" t="inlineStr">
        <is>
          <t>Muhammad Sulaiman</t>
        </is>
      </c>
      <c r="C154" s="10" t="inlineStr">
        <is>
          <t>SDO-7680</t>
        </is>
      </c>
      <c r="D154" s="10" t="inlineStr">
        <is>
          <t>SDO-7680 Multi region</t>
        </is>
      </c>
      <c r="E154" s="10" t="inlineStr">
        <is>
          <t>SDO-7789</t>
        </is>
      </c>
      <c r="F154" s="10" t="inlineStr">
        <is>
          <t>3. Make router multiregion - acceptance</t>
        </is>
      </c>
      <c r="G154" s="20" t="n">
        <v>1.1429</v>
      </c>
    </row>
    <row r="155">
      <c r="A155" s="10" t="inlineStr">
        <is>
          <t>Team Samba</t>
        </is>
      </c>
      <c r="B155" s="10" t="inlineStr">
        <is>
          <t>Muhammad Sulaiman</t>
        </is>
      </c>
      <c r="C155" s="10" t="inlineStr">
        <is>
          <t>SDO-7680</t>
        </is>
      </c>
      <c r="D155" s="10" t="inlineStr">
        <is>
          <t>SDO-7680 Multi region</t>
        </is>
      </c>
      <c r="E155" s="10" t="inlineStr">
        <is>
          <t>SDO-7921</t>
        </is>
      </c>
      <c r="F155" s="10" t="inlineStr">
        <is>
          <t>Make router multiregion - production</t>
        </is>
      </c>
      <c r="G155" s="20" t="n">
        <v>1.1429</v>
      </c>
    </row>
    <row r="156">
      <c r="A156" s="10" t="inlineStr">
        <is>
          <t>Team Samba</t>
        </is>
      </c>
      <c r="B156" s="10" t="inlineStr">
        <is>
          <t>Mark Whitworth</t>
        </is>
      </c>
      <c r="C156" s="10" t="inlineStr">
        <is>
          <t>SDO-7622</t>
        </is>
      </c>
      <c r="D156" s="10" t="inlineStr">
        <is>
          <t>SDO-7622 VOP Performance investigation</t>
        </is>
      </c>
      <c r="E156" s="10" t="inlineStr">
        <is>
          <t>SDO-7848</t>
        </is>
      </c>
      <c r="F156" s="10" t="inlineStr">
        <is>
          <t>Update Adapters config for all onboarded bank</t>
        </is>
      </c>
      <c r="G156" s="20" t="n">
        <v>20</v>
      </c>
    </row>
    <row r="157">
      <c r="A157" s="10" t="inlineStr">
        <is>
          <t>Team Samba</t>
        </is>
      </c>
      <c r="B157" s="10" t="inlineStr">
        <is>
          <t>Mark Whitworth</t>
        </is>
      </c>
      <c r="C157" s="10" t="inlineStr">
        <is>
          <t>SDO-7634</t>
        </is>
      </c>
      <c r="D157" s="10" t="inlineStr">
        <is>
          <t>SDO-7634 BIC Enrichment</t>
        </is>
      </c>
      <c r="E157" s="10" t="inlineStr">
        <is>
          <t>SDO-7653</t>
        </is>
      </c>
      <c r="F157" s="10" t="inlineStr">
        <is>
          <t>Security review</t>
        </is>
      </c>
      <c r="G157" s="20" t="n">
        <v>20</v>
      </c>
    </row>
    <row r="158">
      <c r="A158" s="10" t="inlineStr">
        <is>
          <t>Team Samba</t>
        </is>
      </c>
      <c r="B158" s="10" t="inlineStr">
        <is>
          <t>Mark Whitworth</t>
        </is>
      </c>
      <c r="C158" s="10" t="inlineStr">
        <is>
          <t>SDO-7907</t>
        </is>
      </c>
      <c r="D158" s="10" t="inlineStr">
        <is>
          <t>SDO-7907 Corporate checks via VOP (MVP)</t>
        </is>
      </c>
      <c r="E158" s="10" t="inlineStr">
        <is>
          <t>SDO-7910</t>
        </is>
      </c>
      <c r="F158" s="10" t="inlineStr">
        <is>
          <t>Enable BIC enrichment for IBAN checks outside</t>
        </is>
      </c>
      <c r="G158" s="20" t="n">
        <v>8</v>
      </c>
    </row>
    <row r="159">
      <c r="A159" s="10" t="inlineStr">
        <is>
          <t>Team Samba</t>
        </is>
      </c>
      <c r="B159" s="10" t="inlineStr">
        <is>
          <t>Ioannis Argyroulis</t>
        </is>
      </c>
      <c r="C159" s="10" t="inlineStr">
        <is>
          <t>SDO-5021</t>
        </is>
      </c>
      <c r="D159" s="10" t="inlineStr">
        <is>
          <t xml:space="preserve">SDO-5021 Service Improvements </t>
        </is>
      </c>
      <c r="E159" s="10" t="inlineStr">
        <is>
          <t>SDO-7905</t>
        </is>
      </c>
      <c r="F159" s="10" t="inlineStr">
        <is>
          <t xml:space="preserve">[router] router fails to send a request when </t>
        </is>
      </c>
      <c r="G159" s="20" t="n">
        <v>32</v>
      </c>
    </row>
    <row r="160">
      <c r="A160" s="10" t="inlineStr">
        <is>
          <t>Team Samba</t>
        </is>
      </c>
      <c r="B160" s="10" t="inlineStr">
        <is>
          <t>Kumar Kannan</t>
        </is>
      </c>
      <c r="C160" s="10" t="inlineStr">
        <is>
          <t>SDO-7622</t>
        </is>
      </c>
      <c r="D160" s="10" t="inlineStr">
        <is>
          <t>SDO-7622 VOP Performance investigation</t>
        </is>
      </c>
      <c r="E160" s="10" t="inlineStr">
        <is>
          <t>SDO-7765</t>
        </is>
      </c>
      <c r="F160" s="10" t="inlineStr">
        <is>
          <t>[QA] - Gatling - Configuration and Test Execu</t>
        </is>
      </c>
      <c r="G160" s="20" t="n">
        <v>10.2444</v>
      </c>
    </row>
    <row r="161">
      <c r="A161" s="10" t="inlineStr">
        <is>
          <t>Team Samba</t>
        </is>
      </c>
      <c r="B161" s="10" t="inlineStr">
        <is>
          <t>Kumar Kannan</t>
        </is>
      </c>
      <c r="C161" s="10" t="inlineStr">
        <is>
          <t>SDO-7680</t>
        </is>
      </c>
      <c r="D161" s="10" t="inlineStr">
        <is>
          <t>SDO-7680 Multi region</t>
        </is>
      </c>
      <c r="E161" s="10" t="inlineStr">
        <is>
          <t>SDO-7889</t>
        </is>
      </c>
      <c r="F161" s="10" t="inlineStr">
        <is>
          <t>Multi region testing - test plan</t>
        </is>
      </c>
      <c r="G161" s="20" t="n">
        <v>15.7333</v>
      </c>
    </row>
    <row r="162">
      <c r="A162" s="10" t="inlineStr">
        <is>
          <t>Team Samba</t>
        </is>
      </c>
      <c r="B162" s="10" t="inlineStr">
        <is>
          <t>Kumar Kannan</t>
        </is>
      </c>
      <c r="C162" s="10" t="inlineStr">
        <is>
          <t>SDO-7680</t>
        </is>
      </c>
      <c r="D162" s="10" t="inlineStr">
        <is>
          <t>SDO-7680 Multi region</t>
        </is>
      </c>
      <c r="E162" s="10" t="inlineStr">
        <is>
          <t>SDO-7928</t>
        </is>
      </c>
      <c r="F162" s="10" t="inlineStr">
        <is>
          <t>Multi region testing - test execution</t>
        </is>
      </c>
      <c r="G162" s="20" t="n">
        <v>1.3333</v>
      </c>
    </row>
    <row r="163">
      <c r="A163" s="10" t="inlineStr">
        <is>
          <t>Team Samba</t>
        </is>
      </c>
      <c r="B163" s="10" t="inlineStr">
        <is>
          <t>Ismail Kuyu</t>
        </is>
      </c>
      <c r="C163" s="10" t="inlineStr">
        <is>
          <t>SDO-7144</t>
        </is>
      </c>
      <c r="D163" s="10" t="inlineStr">
        <is>
          <t>SDO-7144 VoP Bank API extended</t>
        </is>
      </c>
      <c r="E163" s="10" t="inlineStr">
        <is>
          <t>SDO-7734</t>
        </is>
      </c>
      <c r="F163" s="10" t="inlineStr">
        <is>
          <t>[Apigee &amp; Traefik ingress] Configure Requesto</t>
        </is>
      </c>
      <c r="G163" s="20" t="n">
        <v>4</v>
      </c>
    </row>
    <row r="164">
      <c r="A164" s="10" t="inlineStr">
        <is>
          <t>Team Samba</t>
        </is>
      </c>
      <c r="B164" s="10" t="inlineStr">
        <is>
          <t>Ismail Kuyu</t>
        </is>
      </c>
      <c r="C164" s="10" t="inlineStr">
        <is>
          <t>SDO-7622</t>
        </is>
      </c>
      <c r="D164" s="10" t="inlineStr">
        <is>
          <t>SDO-7622 VOP Performance investigation</t>
        </is>
      </c>
      <c r="E164" s="10" t="inlineStr">
        <is>
          <t>SDO-7863</t>
        </is>
      </c>
      <c r="F164" s="10" t="inlineStr">
        <is>
          <t>[router &amp; org-api] add 100 message group ids</t>
        </is>
      </c>
      <c r="G164" s="20" t="n">
        <v>12</v>
      </c>
    </row>
    <row r="165">
      <c r="A165" s="10" t="inlineStr">
        <is>
          <t>Team Samba</t>
        </is>
      </c>
      <c r="B165" s="10" t="inlineStr">
        <is>
          <t>Ismail Kuyu</t>
        </is>
      </c>
      <c r="C165" s="10" t="inlineStr">
        <is>
          <t>SDO-7907</t>
        </is>
      </c>
      <c r="D165" s="10" t="inlineStr">
        <is>
          <t>SDO-7907 Corporate checks via VOP (MVP)</t>
        </is>
      </c>
      <c r="E165" s="10" t="inlineStr">
        <is>
          <t>SDO-7936</t>
        </is>
      </c>
      <c r="F165" s="10" t="inlineStr">
        <is>
          <t>Revert the exclusion of BE data from Org v2 c</t>
        </is>
      </c>
      <c r="G165" s="20" t="n">
        <v>2</v>
      </c>
    </row>
    <row r="166">
      <c r="A166" s="10" t="inlineStr">
        <is>
          <t>YODA</t>
        </is>
      </c>
      <c r="B166" s="10" t="inlineStr">
        <is>
          <t>Marin Onofrei</t>
        </is>
      </c>
      <c r="C166" s="10" t="inlineStr">
        <is>
          <t>YODA-1413</t>
        </is>
      </c>
      <c r="D166" s="10" t="inlineStr">
        <is>
          <t>YODA-1413 OPA VOP for JPM</t>
        </is>
      </c>
      <c r="E166" s="10" t="inlineStr">
        <is>
          <t>YODA-1584</t>
        </is>
      </c>
      <c r="F166" s="10" t="inlineStr">
        <is>
          <t xml:space="preserve">Performance test with Gatling </t>
        </is>
      </c>
      <c r="G166" s="20" t="n">
        <v>145.3333</v>
      </c>
    </row>
    <row r="167">
      <c r="A167" s="10" t="inlineStr">
        <is>
          <t>YODA</t>
        </is>
      </c>
      <c r="B167" s="10" t="inlineStr">
        <is>
          <t>Parth Mewada</t>
        </is>
      </c>
      <c r="C167" s="10" t="inlineStr">
        <is>
          <t>YODA-1429</t>
        </is>
      </c>
      <c r="D167" s="10" t="inlineStr">
        <is>
          <t>YODA-1429 [Audit] Backup strategy</t>
        </is>
      </c>
      <c r="E167" s="10" t="inlineStr">
        <is>
          <t>YODA-1435</t>
        </is>
      </c>
      <c r="F167" s="10" t="inlineStr">
        <is>
          <t>[Backup-lambda] Add notifications to lambda o</t>
        </is>
      </c>
      <c r="G167" s="20" t="n">
        <v>82.66670000000001</v>
      </c>
    </row>
    <row r="168">
      <c r="A168" s="10" t="inlineStr">
        <is>
          <t>YODA</t>
        </is>
      </c>
      <c r="B168" s="10" t="inlineStr">
        <is>
          <t>Parth Mewada</t>
        </is>
      </c>
      <c r="C168" s="10" t="inlineStr">
        <is>
          <t>YODA-1429</t>
        </is>
      </c>
      <c r="D168" s="10" t="inlineStr">
        <is>
          <t>YODA-1429 [Audit] Backup strategy</t>
        </is>
      </c>
      <c r="E168" s="10" t="inlineStr">
        <is>
          <t>YODA-1526</t>
        </is>
      </c>
      <c r="F168" s="10" t="inlineStr">
        <is>
          <t xml:space="preserve">[SecReview] Set retention policy for backups </t>
        </is>
      </c>
      <c r="G168" s="20" t="n">
        <v>33.3333</v>
      </c>
    </row>
    <row r="169">
      <c r="A169" s="10" t="inlineStr">
        <is>
          <t>YODA</t>
        </is>
      </c>
      <c r="B169" s="10" t="inlineStr">
        <is>
          <t>Mitali Patil</t>
        </is>
      </c>
      <c r="C169" s="10" t="inlineStr">
        <is>
          <t>YODA-1672</t>
        </is>
      </c>
      <c r="D169" s="10" t="inlineStr">
        <is>
          <t>YODA-1672 Multi Region by Yoda</t>
        </is>
      </c>
      <c r="E169" s="10" t="inlineStr">
        <is>
          <t>YODA-1716</t>
        </is>
      </c>
      <c r="F169" s="10" t="inlineStr">
        <is>
          <t>[Audit][OPA] Update vop-audit services to hav</t>
        </is>
      </c>
      <c r="G169" s="20" t="n">
        <v>96</v>
      </c>
    </row>
    <row r="170">
      <c r="A170" s="10" t="inlineStr">
        <is>
          <t>YODA</t>
        </is>
      </c>
      <c r="B170" s="10" t="inlineStr">
        <is>
          <t>Shrikant Patil</t>
        </is>
      </c>
      <c r="C170" s="10" t="inlineStr">
        <is>
          <t>YODA-1413</t>
        </is>
      </c>
      <c r="D170" s="10" t="inlineStr">
        <is>
          <t>YODA-1413 OPA VOP for JPM</t>
        </is>
      </c>
      <c r="E170" s="10" t="inlineStr">
        <is>
          <t>YODA-1640</t>
        </is>
      </c>
      <c r="F170" s="10" t="inlineStr">
        <is>
          <t>Configure Traefik and connection to JPM AVS s</t>
        </is>
      </c>
      <c r="G170" s="20" t="n">
        <v>12</v>
      </c>
    </row>
    <row r="171">
      <c r="A171" s="10" t="inlineStr">
        <is>
          <t>YODA</t>
        </is>
      </c>
      <c r="B171" s="10" t="inlineStr">
        <is>
          <t>Shrikant Patil</t>
        </is>
      </c>
      <c r="C171" s="10" t="inlineStr">
        <is>
          <t>YODA-1413</t>
        </is>
      </c>
      <c r="D171" s="10" t="inlineStr">
        <is>
          <t>YODA-1413 OPA VOP for JPM</t>
        </is>
      </c>
      <c r="E171" s="10" t="inlineStr">
        <is>
          <t>YODA-1674</t>
        </is>
      </c>
      <c r="F171" s="10" t="inlineStr">
        <is>
          <t>[PRD] Renew certificate UK and upload for bot</t>
        </is>
      </c>
      <c r="G171" s="20" t="n">
        <v>12</v>
      </c>
    </row>
    <row r="172">
      <c r="A172" s="10" t="inlineStr">
        <is>
          <t>YODA</t>
        </is>
      </c>
      <c r="B172" s="10" t="inlineStr">
        <is>
          <t>Shrikant Patil</t>
        </is>
      </c>
      <c r="C172" s="10" t="inlineStr">
        <is>
          <t>YODA-1413</t>
        </is>
      </c>
      <c r="D172" s="10" t="inlineStr">
        <is>
          <t>YODA-1413 OPA VOP for JPM</t>
        </is>
      </c>
      <c r="E172" s="10" t="inlineStr">
        <is>
          <t>YODA-1636</t>
        </is>
      </c>
      <c r="F172" s="10" t="inlineStr">
        <is>
          <t>[PRD] Deploy OPA</t>
        </is>
      </c>
      <c r="G172" s="20" t="n">
        <v>1.3333</v>
      </c>
    </row>
    <row r="173">
      <c r="A173" s="10" t="inlineStr">
        <is>
          <t>YODA</t>
        </is>
      </c>
      <c r="B173" s="10" t="inlineStr">
        <is>
          <t>Shrikant Patil</t>
        </is>
      </c>
      <c r="C173" s="10" t="inlineStr">
        <is>
          <t>YODA-1413</t>
        </is>
      </c>
      <c r="D173" s="10" t="inlineStr">
        <is>
          <t>YODA-1413 OPA VOP for JPM</t>
        </is>
      </c>
      <c r="E173" s="10" t="inlineStr">
        <is>
          <t>YODA-1638</t>
        </is>
      </c>
      <c r="F173" s="10" t="inlineStr">
        <is>
          <t>Deploy OPA infra and software on PROD</t>
        </is>
      </c>
      <c r="G173" s="20" t="n">
        <v>1.3333</v>
      </c>
    </row>
    <row r="174">
      <c r="A174" s="10" t="inlineStr">
        <is>
          <t>YODA</t>
        </is>
      </c>
      <c r="B174" s="10" t="inlineStr">
        <is>
          <t>Shrikant Patil</t>
        </is>
      </c>
      <c r="C174" s="10" t="inlineStr">
        <is>
          <t>YODA-1413</t>
        </is>
      </c>
      <c r="D174" s="10" t="inlineStr">
        <is>
          <t>YODA-1413 OPA VOP for JPM</t>
        </is>
      </c>
      <c r="E174" s="10" t="inlineStr">
        <is>
          <t>YODA-1639</t>
        </is>
      </c>
      <c r="F174" s="10" t="inlineStr">
        <is>
          <t>Configure connection with Dataprovisioning</t>
        </is>
      </c>
      <c r="G174" s="20" t="n">
        <v>1.3333</v>
      </c>
    </row>
    <row r="175">
      <c r="A175" s="10" t="inlineStr">
        <is>
          <t>YODA</t>
        </is>
      </c>
      <c r="B175" s="10" t="inlineStr">
        <is>
          <t>Shrikant Patil</t>
        </is>
      </c>
      <c r="C175" s="10" t="inlineStr">
        <is>
          <t>YODA-1656</t>
        </is>
      </c>
      <c r="D175" s="10" t="inlineStr">
        <is>
          <t>YODA-1656 [Audit] Cross cluster search</t>
        </is>
      </c>
      <c r="E175" s="10" t="inlineStr">
        <is>
          <t>YODA-1708</t>
        </is>
      </c>
      <c r="F175" s="10" t="inlineStr">
        <is>
          <t>Cross cluster search &amp; dashboarding</t>
        </is>
      </c>
      <c r="G175" s="20" t="n">
        <v>60</v>
      </c>
    </row>
    <row r="176">
      <c r="A176" s="10" t="inlineStr">
        <is>
          <t>YODA</t>
        </is>
      </c>
      <c r="B176" s="10" t="inlineStr">
        <is>
          <t>Shrikant Patil</t>
        </is>
      </c>
      <c r="C176" s="10" t="inlineStr">
        <is>
          <t>YODA-1672</t>
        </is>
      </c>
      <c r="D176" s="10" t="inlineStr">
        <is>
          <t>YODA-1672 Multi Region by Yoda</t>
        </is>
      </c>
      <c r="E176" s="10" t="inlineStr">
        <is>
          <t>YODA-1719</t>
        </is>
      </c>
      <c r="F176" s="10" t="inlineStr">
        <is>
          <t>Fix CBI-OPA outbound traefik ingress routes</t>
        </is>
      </c>
      <c r="G176" s="20" t="n">
        <v>8</v>
      </c>
    </row>
    <row r="177">
      <c r="A177" s="10" t="inlineStr">
        <is>
          <t>YODA</t>
        </is>
      </c>
      <c r="B177" s="10" t="inlineStr">
        <is>
          <t>Ramseshu Ghanta</t>
        </is>
      </c>
      <c r="C177" s="10" t="inlineStr">
        <is>
          <t>YODA-1413</t>
        </is>
      </c>
      <c r="D177" s="10" t="inlineStr">
        <is>
          <t>YODA-1413 OPA VOP for JPM</t>
        </is>
      </c>
      <c r="E177" s="10" t="inlineStr">
        <is>
          <t>YODA-1658</t>
        </is>
      </c>
      <c r="F177" s="10" t="inlineStr">
        <is>
          <t>[OPA UK eu?] Security review</t>
        </is>
      </c>
      <c r="G177" s="20" t="n">
        <v>16</v>
      </c>
    </row>
    <row r="178">
      <c r="A178" s="10" t="inlineStr">
        <is>
          <t>YODA</t>
        </is>
      </c>
      <c r="B178" s="10" t="inlineStr">
        <is>
          <t>Ramseshu Ghanta</t>
        </is>
      </c>
      <c r="C178" s="10" t="inlineStr">
        <is>
          <t>YODA-1413</t>
        </is>
      </c>
      <c r="D178" s="10" t="inlineStr">
        <is>
          <t>YODA-1413 OPA VOP for JPM</t>
        </is>
      </c>
      <c r="E178" s="10" t="inlineStr">
        <is>
          <t>YODA-1703</t>
        </is>
      </c>
      <c r="F178" s="10" t="inlineStr">
        <is>
          <t>[PRD][INCIDENT] OPA doesn't use the EasyConfi</t>
        </is>
      </c>
      <c r="G178" s="20" t="n">
        <v>2.6667</v>
      </c>
    </row>
    <row r="179">
      <c r="A179" s="10" t="inlineStr">
        <is>
          <t>YODA</t>
        </is>
      </c>
      <c r="B179" s="10" t="inlineStr">
        <is>
          <t>Ramseshu Ghanta</t>
        </is>
      </c>
      <c r="C179" s="10" t="inlineStr">
        <is>
          <t>YODA-1429</t>
        </is>
      </c>
      <c r="D179" s="10" t="inlineStr">
        <is>
          <t>YODA-1429 [Audit] Backup strategy</t>
        </is>
      </c>
      <c r="E179" s="10" t="inlineStr">
        <is>
          <t>YODA-1435</t>
        </is>
      </c>
      <c r="F179" s="10" t="inlineStr">
        <is>
          <t>[Backup-lambda] Add notifications to lambda o</t>
        </is>
      </c>
      <c r="G179" s="20" t="n">
        <v>18.2667</v>
      </c>
    </row>
    <row r="180">
      <c r="A180" s="10" t="inlineStr">
        <is>
          <t>YODA</t>
        </is>
      </c>
      <c r="B180" s="10" t="inlineStr">
        <is>
          <t>Ramseshu Ghanta</t>
        </is>
      </c>
      <c r="C180" s="10" t="inlineStr">
        <is>
          <t>YODA-1429</t>
        </is>
      </c>
      <c r="D180" s="10" t="inlineStr">
        <is>
          <t>YODA-1429 [Audit] Backup strategy</t>
        </is>
      </c>
      <c r="E180" s="10" t="inlineStr">
        <is>
          <t>YODA-1526</t>
        </is>
      </c>
      <c r="F180" s="10" t="inlineStr">
        <is>
          <t xml:space="preserve">[SecReview] Set retention policy for backups </t>
        </is>
      </c>
      <c r="G180" s="20" t="n">
        <v>7.6</v>
      </c>
    </row>
    <row r="182">
      <c r="F182" s="3" t="inlineStr">
        <is>
          <t>TOTAL</t>
        </is>
      </c>
      <c r="G182" s="15">
        <f>SUM(G4:G180)</f>
        <v/>
      </c>
    </row>
  </sheetData>
  <autoFilter ref="A3:G18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16" customWidth="1" min="4" max="4"/>
    <col width="52" customWidth="1" min="5" max="5"/>
  </cols>
  <sheetData>
    <row r="1">
      <c r="A1" s="1" t="inlineStr">
        <is>
          <t>Mapping and scope issues found during this run</t>
        </is>
      </c>
    </row>
    <row r="3">
      <c r="A3" s="9" t="inlineStr">
        <is>
          <t>Team</t>
        </is>
      </c>
      <c r="B3" s="9" t="inlineStr">
        <is>
          <t>Epic key</t>
        </is>
      </c>
      <c r="C3" s="9" t="inlineStr">
        <is>
          <t>Issue</t>
        </is>
      </c>
      <c r="D3" s="9" t="inlineStr">
        <is>
          <t>Example ticket</t>
        </is>
      </c>
      <c r="E3" s="9" t="inlineStr">
        <is>
          <t>Action</t>
        </is>
      </c>
    </row>
    <row r="4">
      <c r="A4" s="10" t="inlineStr">
        <is>
          <t>Pastel de Portal Team</t>
        </is>
      </c>
      <c r="B4" s="10" t="inlineStr">
        <is>
          <t>PT-350</t>
        </is>
      </c>
      <c r="C4" s="10" t="inlineStr">
        <is>
          <t>Absent from the mapping CSV entirely</t>
        </is>
      </c>
      <c r="D4" s="10" t="inlineStr">
        <is>
          <t>PT-386</t>
        </is>
      </c>
      <c r="E4" s="10" t="inlineStr">
        <is>
          <t>Treated as non-WBSO. Add a row to the CSV if it should count.</t>
        </is>
      </c>
    </row>
    <row r="5">
      <c r="A5" s="10" t="inlineStr">
        <is>
          <t>Pastel de Portal Team</t>
        </is>
      </c>
      <c r="B5" s="10" t="inlineStr">
        <is>
          <t>PT-57</t>
        </is>
      </c>
      <c r="C5" s="10" t="inlineStr">
        <is>
          <t>Absent from the mapping CSV entirely</t>
        </is>
      </c>
      <c r="D5" s="10" t="inlineStr">
        <is>
          <t>PT-90</t>
        </is>
      </c>
      <c r="E5" s="10" t="inlineStr">
        <is>
          <t>Treated as non-WBSO. Add a row to the CSV if it should count.</t>
        </is>
      </c>
    </row>
    <row r="6">
      <c r="A6" s="10" t="inlineStr">
        <is>
          <t>Team Horizon</t>
        </is>
      </c>
      <c r="B6" s="10" t="inlineStr">
        <is>
          <t>SUK-1438</t>
        </is>
      </c>
      <c r="C6" s="10" t="inlineStr">
        <is>
          <t>Absent from the mapping CSV entirely</t>
        </is>
      </c>
      <c r="D6" s="10" t="inlineStr">
        <is>
          <t>SUK-1557</t>
        </is>
      </c>
      <c r="E6" s="10" t="inlineStr">
        <is>
          <t>Treated as non-WBSO. Add a row to the CSV if it should count.</t>
        </is>
      </c>
    </row>
    <row r="7">
      <c r="A7" s="10" t="inlineStr">
        <is>
          <t>Team Horizon</t>
        </is>
      </c>
      <c r="B7" s="10" t="inlineStr">
        <is>
          <t>SUK-2339</t>
        </is>
      </c>
      <c r="C7" s="10" t="inlineStr">
        <is>
          <t>Absent from the mapping CSV entirely</t>
        </is>
      </c>
      <c r="D7" s="10" t="inlineStr">
        <is>
          <t>SUK-3511</t>
        </is>
      </c>
      <c r="E7" s="10" t="inlineStr">
        <is>
          <t>Treated as non-WBSO. Add a row to the CSV if it should count.</t>
        </is>
      </c>
    </row>
    <row r="8">
      <c r="A8" s="10" t="inlineStr">
        <is>
          <t>Team Horizon</t>
        </is>
      </c>
      <c r="B8" s="10" t="inlineStr">
        <is>
          <t>SUK-4741</t>
        </is>
      </c>
      <c r="C8" s="10" t="inlineStr">
        <is>
          <t>Absent from the mapping CSV entirely</t>
        </is>
      </c>
      <c r="D8" s="10" t="inlineStr">
        <is>
          <t>SUK-4751</t>
        </is>
      </c>
      <c r="E8" s="10" t="inlineStr">
        <is>
          <t>Treated as non-WBSO. Add a row to the CSV if it should count.</t>
        </is>
      </c>
    </row>
    <row r="9">
      <c r="A9" s="10" t="inlineStr">
        <is>
          <t>Team Horizon</t>
        </is>
      </c>
      <c r="B9" s="10" t="inlineStr">
        <is>
          <t>SUK-6070</t>
        </is>
      </c>
      <c r="C9" s="10" t="inlineStr">
        <is>
          <t>Absent from the mapping CSV entirely</t>
        </is>
      </c>
      <c r="D9" s="10" t="inlineStr">
        <is>
          <t>SUK-5456</t>
        </is>
      </c>
      <c r="E9" s="10" t="inlineStr">
        <is>
          <t>Treated as non-WBSO. Add a row to the CSV if it should count.</t>
        </is>
      </c>
    </row>
    <row r="10">
      <c r="A10" s="10" t="inlineStr">
        <is>
          <t>Team Horizon</t>
        </is>
      </c>
      <c r="B10" s="10" t="inlineStr">
        <is>
          <t>SUK-6076</t>
        </is>
      </c>
      <c r="C10" s="10" t="inlineStr">
        <is>
          <t>Absent from the mapping CSV entirely</t>
        </is>
      </c>
      <c r="D10" s="10" t="inlineStr">
        <is>
          <t>SUK-5097</t>
        </is>
      </c>
      <c r="E10" s="10" t="inlineStr">
        <is>
          <t>Treated as non-WBSO. Add a row to the CSV if it should count.</t>
        </is>
      </c>
    </row>
    <row r="11">
      <c r="A11" s="10" t="inlineStr">
        <is>
          <t>Team Ikigai</t>
        </is>
      </c>
      <c r="B11" s="10" t="inlineStr">
        <is>
          <t>SPD-3452</t>
        </is>
      </c>
      <c r="C11" s="10" t="inlineStr">
        <is>
          <t>Absent from the mapping CSV entirely</t>
        </is>
      </c>
      <c r="D11" s="10" t="inlineStr">
        <is>
          <t>SPD-3183</t>
        </is>
      </c>
      <c r="E11" s="10" t="inlineStr">
        <is>
          <t>Treated as non-WBSO. Add a row to the CSV if it should count.</t>
        </is>
      </c>
    </row>
    <row r="12">
      <c r="A12" s="10" t="inlineStr">
        <is>
          <t>Team Ikigai</t>
        </is>
      </c>
      <c r="B12" s="10" t="inlineStr">
        <is>
          <t>SPD-3478</t>
        </is>
      </c>
      <c r="C12" s="10" t="inlineStr">
        <is>
          <t>Absent from the mapping CSV entirely</t>
        </is>
      </c>
      <c r="D12" s="10" t="inlineStr">
        <is>
          <t>SPD-3290</t>
        </is>
      </c>
      <c r="E12" s="10" t="inlineStr">
        <is>
          <t>Treated as non-WBSO. Add a row to the CSV if it should count.</t>
        </is>
      </c>
    </row>
    <row r="13">
      <c r="A13" s="10" t="inlineStr">
        <is>
          <t>Team Samba</t>
        </is>
      </c>
      <c r="B13" s="10" t="inlineStr">
        <is>
          <t>SDO-8170</t>
        </is>
      </c>
      <c r="C13" s="10" t="inlineStr">
        <is>
          <t>Absent from the mapping CSV entirely</t>
        </is>
      </c>
      <c r="D13" s="10" t="inlineStr">
        <is>
          <t>SDO-7265</t>
        </is>
      </c>
      <c r="E13" s="10" t="inlineStr">
        <is>
          <t>Treated as non-WBSO. Add a row to the CSV if it should count.</t>
        </is>
      </c>
    </row>
    <row r="14">
      <c r="A14" s="10" t="inlineStr">
        <is>
          <t>Team Samba</t>
        </is>
      </c>
      <c r="B14" s="10" t="inlineStr">
        <is>
          <t>SDO-8305</t>
        </is>
      </c>
      <c r="C14" s="10" t="inlineStr">
        <is>
          <t>Absent from the mapping CSV entirely</t>
        </is>
      </c>
      <c r="D14" s="10" t="inlineStr">
        <is>
          <t>SDO-5668</t>
        </is>
      </c>
      <c r="E14" s="10" t="inlineStr">
        <is>
          <t>Treated as non-WBSO. Add a row to the CSV if it should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2026-08-21T17:45:32Z</dcterms:created>
  <dcterms:modified xsi:type="dcterms:W3CDTF">2026-08-21T17:45:32Z</dcterms:modified>
</cp:coreProperties>
</file>
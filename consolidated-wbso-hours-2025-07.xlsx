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2025-07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6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7</v>
      </c>
      <c r="E5" s="11" t="n">
        <v>6</v>
      </c>
      <c r="F5" s="12">
        <f>SUMIFS(Detail!$G$4:$G$131,Detail!$A$4:$A$131,$A5)</f>
        <v/>
      </c>
      <c r="G5" s="11" t="n">
        <v>158</v>
      </c>
      <c r="H5" s="12">
        <f>$G5*Assumptions!$B$5</f>
        <v/>
      </c>
      <c r="I5" s="13">
        <f>IFERROR($F5/$H5,0)</f>
        <v/>
      </c>
      <c r="J5" s="10" t="inlineStr">
        <is>
          <t>6.7h across 7 engineer(s)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5</v>
      </c>
      <c r="E6" s="11" t="n">
        <v>5</v>
      </c>
      <c r="F6" s="12">
        <f>SUMIFS(Detail!$G$4:$G$131,Detail!$A$4:$A$131,$A6)</f>
        <v/>
      </c>
      <c r="G6" s="11" t="n">
        <v>115</v>
      </c>
      <c r="H6" s="12">
        <f>$G6*Assumptions!$B$5</f>
        <v/>
      </c>
      <c r="I6" s="13">
        <f>IFERROR($F6/$H6,0)</f>
        <v/>
      </c>
      <c r="J6" s="10" t="inlineStr">
        <is>
          <t>423.2h across 5 engineer(s)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11</v>
      </c>
      <c r="E7" s="11" t="n">
        <v>13</v>
      </c>
      <c r="F7" s="12">
        <f>SUMIFS(Detail!$G$4:$G$131,Detail!$A$4:$A$131,$A7)</f>
        <v/>
      </c>
      <c r="G7" s="11" t="n">
        <v>233</v>
      </c>
      <c r="H7" s="12">
        <f>$G7*Assumptions!$B$5</f>
        <v/>
      </c>
      <c r="I7" s="13">
        <f>IFERROR($F7/$H7,0)</f>
        <v/>
      </c>
      <c r="J7" s="10" t="inlineStr">
        <is>
          <t>519.6h across 11 engineer(s)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9</v>
      </c>
      <c r="E8" s="11" t="n">
        <v>25</v>
      </c>
      <c r="F8" s="12">
        <f>SUMIFS(Detail!$G$4:$G$131,Detail!$A$4:$A$131,$A8)</f>
        <v/>
      </c>
      <c r="G8" s="11" t="n">
        <v>183</v>
      </c>
      <c r="H8" s="12">
        <f>$G8*Assumptions!$B$5</f>
        <v/>
      </c>
      <c r="I8" s="13">
        <f>IFERROR($F8/$H8,0)</f>
        <v/>
      </c>
      <c r="J8" s="10" t="inlineStr">
        <is>
          <t>1123.3h across 9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9</v>
      </c>
      <c r="E9" s="11" t="n">
        <v>18</v>
      </c>
      <c r="F9" s="12">
        <f>SUMIFS(Detail!$G$4:$G$131,Detail!$A$4:$A$131,$A9)</f>
        <v/>
      </c>
      <c r="G9" s="11" t="n">
        <v>153</v>
      </c>
      <c r="H9" s="12">
        <f>$G9*Assumptions!$B$5</f>
        <v/>
      </c>
      <c r="I9" s="13">
        <f>IFERROR($F9/$H9,0)</f>
        <v/>
      </c>
      <c r="J9" s="10" t="inlineStr">
        <is>
          <t>372.7h across 9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6</v>
      </c>
      <c r="E10" s="11" t="n">
        <v>29</v>
      </c>
      <c r="F10" s="12">
        <f>SUMIFS(Detail!$G$4:$G$131,Detail!$A$4:$A$131,$A10)</f>
        <v/>
      </c>
      <c r="G10" s="11" t="n">
        <v>111</v>
      </c>
      <c r="H10" s="12">
        <f>$G10*Assumptions!$B$5</f>
        <v/>
      </c>
      <c r="I10" s="13">
        <f>IFERROR($F10/$H10,0)</f>
        <v/>
      </c>
      <c r="J10" s="10" t="inlineStr">
        <is>
          <t>412.0h across 6 engineer(s)</t>
        </is>
      </c>
    </row>
    <row r="12">
      <c r="A12" s="3" t="inlineStr">
        <is>
          <t>ALL TEAMS</t>
        </is>
      </c>
      <c r="D12" s="14">
        <f>SUM(D5:D10)</f>
        <v/>
      </c>
      <c r="E12" s="14">
        <f>SUM(E5:E10)</f>
        <v/>
      </c>
      <c r="F12" s="15">
        <f>SUM(F5:F10)</f>
        <v/>
      </c>
      <c r="G12" s="14">
        <f>SUM(G5:G10)</f>
        <v/>
      </c>
      <c r="H12" s="15">
        <f>SUM(H5:H10)</f>
        <v/>
      </c>
      <c r="I12" s="16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Pastel de Portal Team — WBSO hours, 2025-07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Vitor Fernandes</t>
        </is>
      </c>
      <c r="B5" s="10" t="inlineStr">
        <is>
          <t>PT-54</t>
        </is>
      </c>
      <c r="C5" s="10" t="inlineStr">
        <is>
          <t>PT-54 VOP File Check</t>
        </is>
      </c>
      <c r="D5" s="12">
        <f>SUMIFS(Detail!$G$4:$G$131,Detail!$A$4:$A$131,$A$2,Detail!$B$4:$B$131,$A5,Detail!$C$4:$C$131,$B5)</f>
        <v/>
      </c>
    </row>
    <row r="6">
      <c r="A6" s="17" t="n"/>
      <c r="B6" s="17" t="n"/>
      <c r="C6" s="18" t="inlineStr">
        <is>
          <t>TEAM TOTAL</t>
        </is>
      </c>
      <c r="D6" s="19">
        <f>SUM(D5:D5)</f>
        <v/>
      </c>
    </row>
    <row r="9">
      <c r="A9" s="6" t="inlineStr">
        <is>
          <t>Per engineer</t>
        </is>
      </c>
    </row>
    <row r="10">
      <c r="A10" s="9" t="inlineStr">
        <is>
          <t>Engineer</t>
        </is>
      </c>
      <c r="B10" s="9" t="inlineStr">
        <is>
          <t>WBSO hours</t>
        </is>
      </c>
      <c r="C10" s="9" t="inlineStr">
        <is>
          <t>Day equivalent</t>
        </is>
      </c>
      <c r="D10" s="9" t="inlineStr">
        <is>
          <t>Active days</t>
        </is>
      </c>
      <c r="E10" s="9" t="inlineStr">
        <is>
          <t>Capacity hours</t>
        </is>
      </c>
      <c r="F10" s="9" t="inlineStr">
        <is>
          <t>WBSO share</t>
        </is>
      </c>
      <c r="G10" s="9" t="inlineStr">
        <is>
          <t>Peak tickets/day</t>
        </is>
      </c>
    </row>
    <row r="11">
      <c r="A11" s="10" t="inlineStr">
        <is>
          <t>Vitor Fernandes</t>
        </is>
      </c>
      <c r="B11" s="12">
        <f>SUMIFS(Detail!$G$4:$G$131,Detail!$A$4:$A$131,$A$2,Detail!$B$4:$B$131,$A11)</f>
        <v/>
      </c>
      <c r="C11" s="12">
        <f>IFERROR($B11/Assumptions!$B$5,0)</f>
        <v/>
      </c>
      <c r="D11" s="11" t="n">
        <v>24</v>
      </c>
      <c r="E11" s="12">
        <f>$D11*Assumptions!$B$5</f>
        <v/>
      </c>
      <c r="F11" s="13">
        <f>IFERROR($B11/$E11,0)</f>
        <v/>
      </c>
      <c r="G11" s="11" t="inlineStr">
        <is>
          <t>8 on 02 Jul</t>
        </is>
      </c>
    </row>
    <row r="12">
      <c r="A12" s="3" t="inlineStr">
        <is>
          <t>TOTAL</t>
        </is>
      </c>
      <c r="B12" s="15">
        <f>SUM(B11:B11)</f>
        <v/>
      </c>
      <c r="C12" s="15">
        <f>SUM(C11:C11)</f>
        <v/>
      </c>
      <c r="D12" s="15">
        <f>SUM(D11:D11)</f>
        <v/>
      </c>
      <c r="E12" s="15">
        <f>SUM(E11:E11)</f>
        <v/>
      </c>
      <c r="F12" s="16">
        <f>IFERROR($B12/$E12,0)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Platform Team 6 — WBSO hours, 2025-07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Venkata Narendra Mannam</t>
        </is>
      </c>
      <c r="B5" s="10" t="inlineStr">
        <is>
          <t>PT6-1419</t>
        </is>
      </c>
      <c r="C5" s="10" t="inlineStr">
        <is>
          <t>PT6-1419 Traefik migration V3</t>
        </is>
      </c>
      <c r="D5" s="12">
        <f>SUMIFS(Detail!$G$4:$G$131,Detail!$A$4:$A$131,$A$2,Detail!$B$4:$B$131,$A5,Detail!$C$4:$C$131,$B5)</f>
        <v/>
      </c>
    </row>
    <row r="6">
      <c r="A6" s="10" t="inlineStr">
        <is>
          <t>Venkata Narendra Mannam</t>
        </is>
      </c>
      <c r="B6" s="10" t="inlineStr">
        <is>
          <t>PT6-1670</t>
        </is>
      </c>
      <c r="C6" s="10" t="inlineStr">
        <is>
          <t xml:space="preserve">PT6-1670 Multi region </t>
        </is>
      </c>
      <c r="D6" s="12">
        <f>SUMIFS(Detail!$G$4:$G$131,Detail!$A$4:$A$131,$A$2,Detail!$B$4:$B$131,$A6,Detail!$C$4:$C$131,$B6)</f>
        <v/>
      </c>
    </row>
    <row r="7">
      <c r="A7" s="10" t="inlineStr">
        <is>
          <t>Venkata Narendra Mannam</t>
        </is>
      </c>
      <c r="B7" s="10" t="inlineStr">
        <is>
          <t>PT6-1713</t>
        </is>
      </c>
      <c r="C7" s="10" t="inlineStr">
        <is>
          <t>PT6-1713 Autoscaling</t>
        </is>
      </c>
      <c r="D7" s="12">
        <f>SUMIFS(Detail!$G$4:$G$131,Detail!$A$4:$A$131,$A$2,Detail!$B$4:$B$131,$A7,Detail!$C$4:$C$131,$B7)</f>
        <v/>
      </c>
    </row>
    <row r="8">
      <c r="A8" s="10" t="inlineStr">
        <is>
          <t>Elton Qevani</t>
        </is>
      </c>
      <c r="B8" s="10" t="inlineStr">
        <is>
          <t>PT6-1670</t>
        </is>
      </c>
      <c r="C8" s="10" t="inlineStr">
        <is>
          <t xml:space="preserve">PT6-1670 Multi region </t>
        </is>
      </c>
      <c r="D8" s="12">
        <f>SUMIFS(Detail!$G$4:$G$131,Detail!$A$4:$A$131,$A$2,Detail!$B$4:$B$131,$A8,Detail!$C$4:$C$131,$B8)</f>
        <v/>
      </c>
    </row>
    <row r="9">
      <c r="A9" s="10" t="inlineStr">
        <is>
          <t>Rafay Khan</t>
        </is>
      </c>
      <c r="B9" s="10" t="inlineStr">
        <is>
          <t>PT6-1670</t>
        </is>
      </c>
      <c r="C9" s="10" t="inlineStr">
        <is>
          <t xml:space="preserve">PT6-1670 Multi region </t>
        </is>
      </c>
      <c r="D9" s="12">
        <f>SUMIFS(Detail!$G$4:$G$131,Detail!$A$4:$A$131,$A$2,Detail!$B$4:$B$131,$A9,Detail!$C$4:$C$131,$B9)</f>
        <v/>
      </c>
    </row>
    <row r="10">
      <c r="A10" s="10" t="inlineStr">
        <is>
          <t>Mete Han Karacüllü</t>
        </is>
      </c>
      <c r="B10" s="10" t="inlineStr">
        <is>
          <t>PT6-1670</t>
        </is>
      </c>
      <c r="C10" s="10" t="inlineStr">
        <is>
          <t xml:space="preserve">PT6-1670 Multi region </t>
        </is>
      </c>
      <c r="D10" s="12">
        <f>SUMIFS(Detail!$G$4:$G$131,Detail!$A$4:$A$131,$A$2,Detail!$B$4:$B$131,$A10,Detail!$C$4:$C$131,$B10)</f>
        <v/>
      </c>
    </row>
    <row r="11">
      <c r="A11" s="10" t="inlineStr">
        <is>
          <t>Mete Han Karacüllü</t>
        </is>
      </c>
      <c r="B11" s="10" t="inlineStr">
        <is>
          <t>PT6-1713</t>
        </is>
      </c>
      <c r="C11" s="10" t="inlineStr">
        <is>
          <t>PT6-1713 Autoscaling</t>
        </is>
      </c>
      <c r="D11" s="12">
        <f>SUMIFS(Detail!$G$4:$G$131,Detail!$A$4:$A$131,$A$2,Detail!$B$4:$B$131,$A11,Detail!$C$4:$C$131,$B11)</f>
        <v/>
      </c>
    </row>
    <row r="12">
      <c r="A12" s="17" t="n"/>
      <c r="B12" s="17" t="n"/>
      <c r="C12" s="18" t="inlineStr">
        <is>
          <t>TEAM TOTAL</t>
        </is>
      </c>
      <c r="D12" s="19">
        <f>SUM(D5:D11)</f>
        <v/>
      </c>
    </row>
    <row r="15">
      <c r="A15" s="6" t="inlineStr">
        <is>
          <t>Per engineer</t>
        </is>
      </c>
    </row>
    <row r="16">
      <c r="A16" s="9" t="inlineStr">
        <is>
          <t>Engineer</t>
        </is>
      </c>
      <c r="B16" s="9" t="inlineStr">
        <is>
          <t>WBSO hours</t>
        </is>
      </c>
      <c r="C16" s="9" t="inlineStr">
        <is>
          <t>Day equivalent</t>
        </is>
      </c>
      <c r="D16" s="9" t="inlineStr">
        <is>
          <t>Active days</t>
        </is>
      </c>
      <c r="E16" s="9" t="inlineStr">
        <is>
          <t>Capacity hours</t>
        </is>
      </c>
      <c r="F16" s="9" t="inlineStr">
        <is>
          <t>WBSO share</t>
        </is>
      </c>
      <c r="G16" s="9" t="inlineStr">
        <is>
          <t>Peak tickets/day</t>
        </is>
      </c>
    </row>
    <row r="17">
      <c r="A17" s="10" t="inlineStr">
        <is>
          <t>Venkata Narendra Mannam</t>
        </is>
      </c>
      <c r="B17" s="12">
        <f>SUMIFS(Detail!$G$4:$G$131,Detail!$A$4:$A$131,$A$2,Detail!$B$4:$B$131,$A17)</f>
        <v/>
      </c>
      <c r="C17" s="12">
        <f>IFERROR($B17/Assumptions!$B$5,0)</f>
        <v/>
      </c>
      <c r="D17" s="11" t="n">
        <v>24</v>
      </c>
      <c r="E17" s="12">
        <f>$D17*Assumptions!$B$5</f>
        <v/>
      </c>
      <c r="F17" s="13">
        <f>IFERROR($B17/$E17,0)</f>
        <v/>
      </c>
      <c r="G17" s="11" t="inlineStr">
        <is>
          <t>3 on 29 Jul</t>
        </is>
      </c>
    </row>
    <row r="18">
      <c r="A18" s="10" t="inlineStr">
        <is>
          <t>Elton Qevani</t>
        </is>
      </c>
      <c r="B18" s="12">
        <f>SUMIFS(Detail!$G$4:$G$131,Detail!$A$4:$A$131,$A$2,Detail!$B$4:$B$131,$A18)</f>
        <v/>
      </c>
      <c r="C18" s="12">
        <f>IFERROR($B18/Assumptions!$B$5,0)</f>
        <v/>
      </c>
      <c r="D18" s="11" t="n">
        <v>19</v>
      </c>
      <c r="E18" s="12">
        <f>$D18*Assumptions!$B$5</f>
        <v/>
      </c>
      <c r="F18" s="13">
        <f>IFERROR($B18/$E18,0)</f>
        <v/>
      </c>
      <c r="G18" s="11" t="inlineStr">
        <is>
          <t>3 on 02 Jul</t>
        </is>
      </c>
    </row>
    <row r="19">
      <c r="A19" s="10" t="inlineStr">
        <is>
          <t>Rafay Khan</t>
        </is>
      </c>
      <c r="B19" s="12">
        <f>SUMIFS(Detail!$G$4:$G$131,Detail!$A$4:$A$131,$A$2,Detail!$B$4:$B$131,$A19)</f>
        <v/>
      </c>
      <c r="C19" s="12">
        <f>IFERROR($B19/Assumptions!$B$5,0)</f>
        <v/>
      </c>
      <c r="D19" s="11" t="n">
        <v>24</v>
      </c>
      <c r="E19" s="12">
        <f>$D19*Assumptions!$B$5</f>
        <v/>
      </c>
      <c r="F19" s="13">
        <f>IFERROR($B19/$E19,0)</f>
        <v/>
      </c>
      <c r="G19" s="11" t="inlineStr">
        <is>
          <t>5 on 02 Jul</t>
        </is>
      </c>
    </row>
    <row r="20">
      <c r="A20" s="10" t="inlineStr">
        <is>
          <t>Mete Han Karacüllü</t>
        </is>
      </c>
      <c r="B20" s="12">
        <f>SUMIFS(Detail!$G$4:$G$131,Detail!$A$4:$A$131,$A$2,Detail!$B$4:$B$131,$A20)</f>
        <v/>
      </c>
      <c r="C20" s="12">
        <f>IFERROR($B20/Assumptions!$B$5,0)</f>
        <v/>
      </c>
      <c r="D20" s="11" t="n">
        <v>24</v>
      </c>
      <c r="E20" s="12">
        <f>$D20*Assumptions!$B$5</f>
        <v/>
      </c>
      <c r="F20" s="13">
        <f>IFERROR($B20/$E20,0)</f>
        <v/>
      </c>
      <c r="G20" s="11" t="inlineStr">
        <is>
          <t>3 on 22 Jul</t>
        </is>
      </c>
    </row>
    <row r="21">
      <c r="A21" s="3" t="inlineStr">
        <is>
          <t>TOTAL</t>
        </is>
      </c>
      <c r="B21" s="15">
        <f>SUM(B17:B20)</f>
        <v/>
      </c>
      <c r="C21" s="15">
        <f>SUM(C17:C20)</f>
        <v/>
      </c>
      <c r="D21" s="15">
        <f>SUM(D17:D20)</f>
        <v/>
      </c>
      <c r="E21" s="15">
        <f>SUM(E17:E20)</f>
        <v/>
      </c>
      <c r="F21" s="16">
        <f>IFERROR($B21/$E21,0)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Horizon — WBSO hours, 2025-07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Ryan Shepherd</t>
        </is>
      </c>
      <c r="B5" s="10" t="inlineStr">
        <is>
          <t>SUK-5337</t>
        </is>
      </c>
      <c r="C5" s="10" t="inlineStr">
        <is>
          <t xml:space="preserve">SUK-5337 VOP EDS Integration Implementation </t>
        </is>
      </c>
      <c r="D5" s="12">
        <f>SUMIFS(Detail!$G$4:$G$131,Detail!$A$4:$A$131,$A$2,Detail!$B$4:$B$131,$A5,Detail!$C$4:$C$131,$B5)</f>
        <v/>
      </c>
    </row>
    <row r="6">
      <c r="A6" s="10" t="inlineStr">
        <is>
          <t>Ryan Shepherd</t>
        </is>
      </c>
      <c r="B6" s="10" t="inlineStr">
        <is>
          <t>SUK-5466</t>
        </is>
      </c>
      <c r="C6" s="10" t="inlineStr">
        <is>
          <t>SUK-5466 VOP Outbound Adaptor</t>
        </is>
      </c>
      <c r="D6" s="12">
        <f>SUMIFS(Detail!$G$4:$G$131,Detail!$A$4:$A$131,$A$2,Detail!$B$4:$B$131,$A6,Detail!$C$4:$C$131,$B6)</f>
        <v/>
      </c>
    </row>
    <row r="7">
      <c r="A7" s="10" t="inlineStr">
        <is>
          <t>Arpit Dahiya</t>
        </is>
      </c>
      <c r="B7" s="10" t="inlineStr">
        <is>
          <t>SUK-5466</t>
        </is>
      </c>
      <c r="C7" s="10" t="inlineStr">
        <is>
          <t>SUK-5466 VOP Outbound Adaptor</t>
        </is>
      </c>
      <c r="D7" s="12">
        <f>SUMIFS(Detail!$G$4:$G$131,Detail!$A$4:$A$131,$A$2,Detail!$B$4:$B$131,$A7,Detail!$C$4:$C$131,$B7)</f>
        <v/>
      </c>
    </row>
    <row r="8">
      <c r="A8" s="10" t="inlineStr">
        <is>
          <t>Adorjan Fritz</t>
        </is>
      </c>
      <c r="B8" s="10" t="inlineStr">
        <is>
          <t>SUK-5466</t>
        </is>
      </c>
      <c r="C8" s="10" t="inlineStr">
        <is>
          <t>SUK-5466 VOP Outbound Adaptor</t>
        </is>
      </c>
      <c r="D8" s="12">
        <f>SUMIFS(Detail!$G$4:$G$131,Detail!$A$4:$A$131,$A$2,Detail!$B$4:$B$131,$A8,Detail!$C$4:$C$131,$B8)</f>
        <v/>
      </c>
    </row>
    <row r="9">
      <c r="A9" s="10" t="inlineStr">
        <is>
          <t>Adorjan Fritz</t>
        </is>
      </c>
      <c r="B9" s="10" t="inlineStr">
        <is>
          <t>SUK-5578</t>
        </is>
      </c>
      <c r="C9" s="10" t="inlineStr">
        <is>
          <t xml:space="preserve">SUK-5578 VOP Inbound Adaptor </t>
        </is>
      </c>
      <c r="D9" s="12">
        <f>SUMIFS(Detail!$G$4:$G$131,Detail!$A$4:$A$131,$A$2,Detail!$B$4:$B$131,$A9,Detail!$C$4:$C$131,$B9)</f>
        <v/>
      </c>
    </row>
    <row r="10">
      <c r="A10" s="10" t="inlineStr">
        <is>
          <t>Péter Veres</t>
        </is>
      </c>
      <c r="B10" s="10" t="inlineStr">
        <is>
          <t>SUK-5466</t>
        </is>
      </c>
      <c r="C10" s="10" t="inlineStr">
        <is>
          <t>SUK-5466 VOP Outbound Adaptor</t>
        </is>
      </c>
      <c r="D10" s="12">
        <f>SUMIFS(Detail!$G$4:$G$131,Detail!$A$4:$A$131,$A$2,Detail!$B$4:$B$131,$A10,Detail!$C$4:$C$131,$B10)</f>
        <v/>
      </c>
    </row>
    <row r="11">
      <c r="A11" s="10" t="inlineStr">
        <is>
          <t>Prabhukiran Narava</t>
        </is>
      </c>
      <c r="B11" s="10" t="inlineStr">
        <is>
          <t>SUK-5466</t>
        </is>
      </c>
      <c r="C11" s="10" t="inlineStr">
        <is>
          <t>SUK-5466 VOP Outbound Adaptor</t>
        </is>
      </c>
      <c r="D11" s="12">
        <f>SUMIFS(Detail!$G$4:$G$131,Detail!$A$4:$A$131,$A$2,Detail!$B$4:$B$131,$A11,Detail!$C$4:$C$131,$B11)</f>
        <v/>
      </c>
    </row>
    <row r="12">
      <c r="A12" s="10" t="inlineStr">
        <is>
          <t>Sanjay Chaudhary</t>
        </is>
      </c>
      <c r="B12" s="10" t="inlineStr">
        <is>
          <t>SUK-5337</t>
        </is>
      </c>
      <c r="C12" s="10" t="inlineStr">
        <is>
          <t xml:space="preserve">SUK-5337 VOP EDS Integration Implementation </t>
        </is>
      </c>
      <c r="D12" s="12">
        <f>SUMIFS(Detail!$G$4:$G$131,Detail!$A$4:$A$131,$A$2,Detail!$B$4:$B$131,$A12,Detail!$C$4:$C$131,$B12)</f>
        <v/>
      </c>
    </row>
    <row r="13">
      <c r="A13" s="10" t="inlineStr">
        <is>
          <t>Sanjay Chaudhary</t>
        </is>
      </c>
      <c r="B13" s="10" t="inlineStr">
        <is>
          <t>SUK-5466</t>
        </is>
      </c>
      <c r="C13" s="10" t="inlineStr">
        <is>
          <t>SUK-5466 VOP Outbound Adaptor</t>
        </is>
      </c>
      <c r="D13" s="12">
        <f>SUMIFS(Detail!$G$4:$G$131,Detail!$A$4:$A$131,$A$2,Detail!$B$4:$B$131,$A13,Detail!$C$4:$C$131,$B13)</f>
        <v/>
      </c>
    </row>
    <row r="14">
      <c r="A14" s="10" t="inlineStr">
        <is>
          <t>Julian Mulder</t>
        </is>
      </c>
      <c r="B14" s="10" t="inlineStr">
        <is>
          <t>SUK-5466</t>
        </is>
      </c>
      <c r="C14" s="10" t="inlineStr">
        <is>
          <t>SUK-5466 VOP Outbound Adaptor</t>
        </is>
      </c>
      <c r="D14" s="12">
        <f>SUMIFS(Detail!$G$4:$G$131,Detail!$A$4:$A$131,$A$2,Detail!$B$4:$B$131,$A14,Detail!$C$4:$C$131,$B14)</f>
        <v/>
      </c>
    </row>
    <row r="15">
      <c r="A15" s="10" t="inlineStr">
        <is>
          <t>Nikolay Antonov</t>
        </is>
      </c>
      <c r="B15" s="10" t="inlineStr">
        <is>
          <t>SUK-5578</t>
        </is>
      </c>
      <c r="C15" s="10" t="inlineStr">
        <is>
          <t xml:space="preserve">SUK-5578 VOP Inbound Adaptor </t>
        </is>
      </c>
      <c r="D15" s="12">
        <f>SUMIFS(Detail!$G$4:$G$131,Detail!$A$4:$A$131,$A$2,Detail!$B$4:$B$131,$A15,Detail!$C$4:$C$131,$B15)</f>
        <v/>
      </c>
    </row>
    <row r="16">
      <c r="A16" s="17" t="n"/>
      <c r="B16" s="17" t="n"/>
      <c r="C16" s="18" t="inlineStr">
        <is>
          <t>TEAM TOTAL</t>
        </is>
      </c>
      <c r="D16" s="19">
        <f>SUM(D5:D15)</f>
        <v/>
      </c>
    </row>
    <row r="19">
      <c r="A19" s="6" t="inlineStr">
        <is>
          <t>Per engineer</t>
        </is>
      </c>
    </row>
    <row r="20">
      <c r="A20" s="9" t="inlineStr">
        <is>
          <t>Engineer</t>
        </is>
      </c>
      <c r="B20" s="9" t="inlineStr">
        <is>
          <t>WBSO hours</t>
        </is>
      </c>
      <c r="C20" s="9" t="inlineStr">
        <is>
          <t>Day equivalent</t>
        </is>
      </c>
      <c r="D20" s="9" t="inlineStr">
        <is>
          <t>Active days</t>
        </is>
      </c>
      <c r="E20" s="9" t="inlineStr">
        <is>
          <t>Capacity hours</t>
        </is>
      </c>
      <c r="F20" s="9" t="inlineStr">
        <is>
          <t>WBSO share</t>
        </is>
      </c>
      <c r="G20" s="9" t="inlineStr">
        <is>
          <t>Peak tickets/day</t>
        </is>
      </c>
    </row>
    <row r="21">
      <c r="A21" s="10" t="inlineStr">
        <is>
          <t>Ryan Shepherd</t>
        </is>
      </c>
      <c r="B21" s="12">
        <f>SUMIFS(Detail!$G$4:$G$131,Detail!$A$4:$A$131,$A$2,Detail!$B$4:$B$131,$A21)</f>
        <v/>
      </c>
      <c r="C21" s="12">
        <f>IFERROR($B21/Assumptions!$B$5,0)</f>
        <v/>
      </c>
      <c r="D21" s="11" t="n">
        <v>22</v>
      </c>
      <c r="E21" s="12">
        <f>$D21*Assumptions!$B$5</f>
        <v/>
      </c>
      <c r="F21" s="13">
        <f>IFERROR($B21/$E21,0)</f>
        <v/>
      </c>
      <c r="G21" s="11" t="inlineStr">
        <is>
          <t>5 on 08 Jul</t>
        </is>
      </c>
    </row>
    <row r="22">
      <c r="A22" s="10" t="inlineStr">
        <is>
          <t>Arpit Dahiya</t>
        </is>
      </c>
      <c r="B22" s="12">
        <f>SUMIFS(Detail!$G$4:$G$131,Detail!$A$4:$A$131,$A$2,Detail!$B$4:$B$131,$A22)</f>
        <v/>
      </c>
      <c r="C22" s="12">
        <f>IFERROR($B22/Assumptions!$B$5,0)</f>
        <v/>
      </c>
      <c r="D22" s="11" t="n">
        <v>23</v>
      </c>
      <c r="E22" s="12">
        <f>$D22*Assumptions!$B$5</f>
        <v/>
      </c>
      <c r="F22" s="13">
        <f>IFERROR($B22/$E22,0)</f>
        <v/>
      </c>
      <c r="G22" s="11" t="inlineStr">
        <is>
          <t>2 on 30 Jul</t>
        </is>
      </c>
    </row>
    <row r="23">
      <c r="A23" s="10" t="inlineStr">
        <is>
          <t>Adorjan Fritz</t>
        </is>
      </c>
      <c r="B23" s="12">
        <f>SUMIFS(Detail!$G$4:$G$131,Detail!$A$4:$A$131,$A$2,Detail!$B$4:$B$131,$A23)</f>
        <v/>
      </c>
      <c r="C23" s="12">
        <f>IFERROR($B23/Assumptions!$B$5,0)</f>
        <v/>
      </c>
      <c r="D23" s="11" t="n">
        <v>14</v>
      </c>
      <c r="E23" s="12">
        <f>$D23*Assumptions!$B$5</f>
        <v/>
      </c>
      <c r="F23" s="13">
        <f>IFERROR($B23/$E23,0)</f>
        <v/>
      </c>
      <c r="G23" s="11" t="inlineStr">
        <is>
          <t>2 on 11 Jul</t>
        </is>
      </c>
    </row>
    <row r="24">
      <c r="A24" s="10" t="inlineStr">
        <is>
          <t>Péter Veres</t>
        </is>
      </c>
      <c r="B24" s="12">
        <f>SUMIFS(Detail!$G$4:$G$131,Detail!$A$4:$A$131,$A$2,Detail!$B$4:$B$131,$A24)</f>
        <v/>
      </c>
      <c r="C24" s="12">
        <f>IFERROR($B24/Assumptions!$B$5,0)</f>
        <v/>
      </c>
      <c r="D24" s="11" t="n">
        <v>10</v>
      </c>
      <c r="E24" s="12">
        <f>$D24*Assumptions!$B$5</f>
        <v/>
      </c>
      <c r="F24" s="13">
        <f>IFERROR($B24/$E24,0)</f>
        <v/>
      </c>
      <c r="G24" s="11" t="inlineStr">
        <is>
          <t>1 on 25 Jul</t>
        </is>
      </c>
    </row>
    <row r="25">
      <c r="A25" s="10" t="inlineStr">
        <is>
          <t>Prabhukiran Narava</t>
        </is>
      </c>
      <c r="B25" s="12">
        <f>SUMIFS(Detail!$G$4:$G$131,Detail!$A$4:$A$131,$A$2,Detail!$B$4:$B$131,$A25)</f>
        <v/>
      </c>
      <c r="C25" s="12">
        <f>IFERROR($B25/Assumptions!$B$5,0)</f>
        <v/>
      </c>
      <c r="D25" s="11" t="n">
        <v>24</v>
      </c>
      <c r="E25" s="12">
        <f>$D25*Assumptions!$B$5</f>
        <v/>
      </c>
      <c r="F25" s="13">
        <f>IFERROR($B25/$E25,0)</f>
        <v/>
      </c>
      <c r="G25" s="11" t="inlineStr">
        <is>
          <t>4 on 28 Jul</t>
        </is>
      </c>
    </row>
    <row r="26">
      <c r="A26" s="10" t="inlineStr">
        <is>
          <t>Sanjay Chaudhary</t>
        </is>
      </c>
      <c r="B26" s="12">
        <f>SUMIFS(Detail!$G$4:$G$131,Detail!$A$4:$A$131,$A$2,Detail!$B$4:$B$131,$A26)</f>
        <v/>
      </c>
      <c r="C26" s="12">
        <f>IFERROR($B26/Assumptions!$B$5,0)</f>
        <v/>
      </c>
      <c r="D26" s="11" t="n">
        <v>24</v>
      </c>
      <c r="E26" s="12">
        <f>$D26*Assumptions!$B$5</f>
        <v/>
      </c>
      <c r="F26" s="13">
        <f>IFERROR($B26/$E26,0)</f>
        <v/>
      </c>
      <c r="G26" s="11" t="inlineStr">
        <is>
          <t>11 on 15 Jul</t>
        </is>
      </c>
    </row>
    <row r="27">
      <c r="A27" s="10" t="inlineStr">
        <is>
          <t>Julian Mulder</t>
        </is>
      </c>
      <c r="B27" s="12">
        <f>SUMIFS(Detail!$G$4:$G$131,Detail!$A$4:$A$131,$A$2,Detail!$B$4:$B$131,$A27)</f>
        <v/>
      </c>
      <c r="C27" s="12">
        <f>IFERROR($B27/Assumptions!$B$5,0)</f>
        <v/>
      </c>
      <c r="D27" s="11" t="n">
        <v>23</v>
      </c>
      <c r="E27" s="12">
        <f>$D27*Assumptions!$B$5</f>
        <v/>
      </c>
      <c r="F27" s="13">
        <f>IFERROR($B27/$E27,0)</f>
        <v/>
      </c>
      <c r="G27" s="11" t="inlineStr">
        <is>
          <t>4 on 10 Jul</t>
        </is>
      </c>
    </row>
    <row r="28">
      <c r="A28" s="10" t="inlineStr">
        <is>
          <t>Nikolay Antonov</t>
        </is>
      </c>
      <c r="B28" s="12">
        <f>SUMIFS(Detail!$G$4:$G$131,Detail!$A$4:$A$131,$A$2,Detail!$B$4:$B$131,$A28)</f>
        <v/>
      </c>
      <c r="C28" s="12">
        <f>IFERROR($B28/Assumptions!$B$5,0)</f>
        <v/>
      </c>
      <c r="D28" s="11" t="n">
        <v>24</v>
      </c>
      <c r="E28" s="12">
        <f>$D28*Assumptions!$B$5</f>
        <v/>
      </c>
      <c r="F28" s="13">
        <f>IFERROR($B28/$E28,0)</f>
        <v/>
      </c>
      <c r="G28" s="11" t="inlineStr">
        <is>
          <t>11 on 03 Jul</t>
        </is>
      </c>
    </row>
    <row r="29">
      <c r="A29" s="3" t="inlineStr">
        <is>
          <t>TOTAL</t>
        </is>
      </c>
      <c r="B29" s="15">
        <f>SUM(B21:B28)</f>
        <v/>
      </c>
      <c r="C29" s="15">
        <f>SUM(C21:C28)</f>
        <v/>
      </c>
      <c r="D29" s="15">
        <f>SUM(D21:D28)</f>
        <v/>
      </c>
      <c r="E29" s="15">
        <f>SUM(E21:E28)</f>
        <v/>
      </c>
      <c r="F29" s="16">
        <f>IFERROR($B29/$E29,0)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2025-07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Sridhar Gnanasekaran</t>
        </is>
      </c>
      <c r="B5" s="10" t="inlineStr">
        <is>
          <t>SPD-2724</t>
        </is>
      </c>
      <c r="C5" s="10" t="inlineStr">
        <is>
          <t>SPD-2724 VoP Bulk Checker Iteration 1</t>
        </is>
      </c>
      <c r="D5" s="12">
        <f>SUMIFS(Detail!$G$4:$G$131,Detail!$A$4:$A$131,$A$2,Detail!$B$4:$B$131,$A5,Detail!$C$4:$C$131,$B5)</f>
        <v/>
      </c>
    </row>
    <row r="6">
      <c r="A6" s="10" t="inlineStr">
        <is>
          <t>Sridhar Gnanasekaran</t>
        </is>
      </c>
      <c r="B6" s="10" t="inlineStr">
        <is>
          <t>SPD-2834</t>
        </is>
      </c>
      <c r="C6" s="10" t="inlineStr">
        <is>
          <t>SPD-2834 VoP Data Hosting Iteration 2</t>
        </is>
      </c>
      <c r="D6" s="12">
        <f>SUMIFS(Detail!$G$4:$G$131,Detail!$A$4:$A$131,$A$2,Detail!$B$4:$B$131,$A6,Detail!$C$4:$C$131,$B6)</f>
        <v/>
      </c>
    </row>
    <row r="7">
      <c r="A7" s="10" t="inlineStr">
        <is>
          <t>Juanma Tastzian</t>
        </is>
      </c>
      <c r="B7" s="10" t="inlineStr">
        <is>
          <t>SPD-2749</t>
        </is>
      </c>
      <c r="C7" s="10" t="inlineStr">
        <is>
          <t>SPD-2749 VoP Data Hosting Ingester v1</t>
        </is>
      </c>
      <c r="D7" s="12">
        <f>SUMIFS(Detail!$G$4:$G$131,Detail!$A$4:$A$131,$A$2,Detail!$B$4:$B$131,$A7,Detail!$C$4:$C$131,$B7)</f>
        <v/>
      </c>
    </row>
    <row r="8">
      <c r="A8" s="10" t="inlineStr">
        <is>
          <t>Juanma Tastzian</t>
        </is>
      </c>
      <c r="B8" s="10" t="inlineStr">
        <is>
          <t>SPD-2834</t>
        </is>
      </c>
      <c r="C8" s="10" t="inlineStr">
        <is>
          <t>SPD-2834 VoP Data Hosting Iteration 2</t>
        </is>
      </c>
      <c r="D8" s="12">
        <f>SUMIFS(Detail!$G$4:$G$131,Detail!$A$4:$A$131,$A$2,Detail!$B$4:$B$131,$A8,Detail!$C$4:$C$131,$B8)</f>
        <v/>
      </c>
    </row>
    <row r="9">
      <c r="A9" s="10" t="inlineStr">
        <is>
          <t>Juanma Tastzian</t>
        </is>
      </c>
      <c r="B9" s="10" t="inlineStr">
        <is>
          <t>SPD-3341</t>
        </is>
      </c>
      <c r="C9" s="10" t="inlineStr">
        <is>
          <t>SPD-3341 VoP Data Hosting</t>
        </is>
      </c>
      <c r="D9" s="12">
        <f>SUMIFS(Detail!$G$4:$G$131,Detail!$A$4:$A$131,$A$2,Detail!$B$4:$B$131,$A9,Detail!$C$4:$C$131,$B9)</f>
        <v/>
      </c>
    </row>
    <row r="10">
      <c r="A10" s="10" t="inlineStr">
        <is>
          <t>Keerthi Shankar</t>
        </is>
      </c>
      <c r="B10" s="10" t="inlineStr">
        <is>
          <t>SPD-2724</t>
        </is>
      </c>
      <c r="C10" s="10" t="inlineStr">
        <is>
          <t>SPD-2724 VoP Bulk Checker Iteration 1</t>
        </is>
      </c>
      <c r="D10" s="12">
        <f>SUMIFS(Detail!$G$4:$G$131,Detail!$A$4:$A$131,$A$2,Detail!$B$4:$B$131,$A10,Detail!$C$4:$C$131,$B10)</f>
        <v/>
      </c>
    </row>
    <row r="11">
      <c r="A11" s="10" t="inlineStr">
        <is>
          <t>Keerthi Shankar</t>
        </is>
      </c>
      <c r="B11" s="10" t="inlineStr">
        <is>
          <t>SPD-2834</t>
        </is>
      </c>
      <c r="C11" s="10" t="inlineStr">
        <is>
          <t>SPD-2834 VoP Data Hosting Iteration 2</t>
        </is>
      </c>
      <c r="D11" s="12">
        <f>SUMIFS(Detail!$G$4:$G$131,Detail!$A$4:$A$131,$A$2,Detail!$B$4:$B$131,$A11,Detail!$C$4:$C$131,$B11)</f>
        <v/>
      </c>
    </row>
    <row r="12">
      <c r="A12" s="10" t="inlineStr">
        <is>
          <t>Keerthi Shankar</t>
        </is>
      </c>
      <c r="B12" s="10" t="inlineStr">
        <is>
          <t>SPD-3012</t>
        </is>
      </c>
      <c r="C12" s="10" t="inlineStr">
        <is>
          <t>SPD-3012 VoP Bulk Checker Iteration 2</t>
        </is>
      </c>
      <c r="D12" s="12">
        <f>SUMIFS(Detail!$G$4:$G$131,Detail!$A$4:$A$131,$A$2,Detail!$B$4:$B$131,$A12,Detail!$C$4:$C$131,$B12)</f>
        <v/>
      </c>
    </row>
    <row r="13">
      <c r="A13" s="10" t="inlineStr">
        <is>
          <t>Keerthi Shankar</t>
        </is>
      </c>
      <c r="B13" s="10" t="inlineStr">
        <is>
          <t>SPD-3135</t>
        </is>
      </c>
      <c r="C13" s="10" t="inlineStr">
        <is>
          <t>SPD-3135 VoP Bulk Webhook</t>
        </is>
      </c>
      <c r="D13" s="12">
        <f>SUMIFS(Detail!$G$4:$G$131,Detail!$A$4:$A$131,$A$2,Detail!$B$4:$B$131,$A13,Detail!$C$4:$C$131,$B13)</f>
        <v/>
      </c>
    </row>
    <row r="14">
      <c r="A14" s="10" t="inlineStr">
        <is>
          <t>borys.rudenko</t>
        </is>
      </c>
      <c r="B14" s="10" t="inlineStr">
        <is>
          <t>SPD-2834</t>
        </is>
      </c>
      <c r="C14" s="10" t="inlineStr">
        <is>
          <t>SPD-2834 VoP Data Hosting Iteration 2</t>
        </is>
      </c>
      <c r="D14" s="12">
        <f>SUMIFS(Detail!$G$4:$G$131,Detail!$A$4:$A$131,$A$2,Detail!$B$4:$B$131,$A14,Detail!$C$4:$C$131,$B14)</f>
        <v/>
      </c>
    </row>
    <row r="15">
      <c r="A15" s="10" t="inlineStr">
        <is>
          <t>Diego Silva</t>
        </is>
      </c>
      <c r="B15" s="10" t="inlineStr">
        <is>
          <t>SPD-2749</t>
        </is>
      </c>
      <c r="C15" s="10" t="inlineStr">
        <is>
          <t>SPD-2749 VoP Data Hosting Ingester v1</t>
        </is>
      </c>
      <c r="D15" s="12">
        <f>SUMIFS(Detail!$G$4:$G$131,Detail!$A$4:$A$131,$A$2,Detail!$B$4:$B$131,$A15,Detail!$C$4:$C$131,$B15)</f>
        <v/>
      </c>
    </row>
    <row r="16">
      <c r="A16" s="10" t="inlineStr">
        <is>
          <t>Diego Silva</t>
        </is>
      </c>
      <c r="B16" s="10" t="inlineStr">
        <is>
          <t>SPD-2834</t>
        </is>
      </c>
      <c r="C16" s="10" t="inlineStr">
        <is>
          <t>SPD-2834 VoP Data Hosting Iteration 2</t>
        </is>
      </c>
      <c r="D16" s="12">
        <f>SUMIFS(Detail!$G$4:$G$131,Detail!$A$4:$A$131,$A$2,Detail!$B$4:$B$131,$A16,Detail!$C$4:$C$131,$B16)</f>
        <v/>
      </c>
    </row>
    <row r="17">
      <c r="A17" s="10" t="inlineStr">
        <is>
          <t>Gerard Veldman</t>
        </is>
      </c>
      <c r="B17" s="10" t="inlineStr">
        <is>
          <t>SPD-2724</t>
        </is>
      </c>
      <c r="C17" s="10" t="inlineStr">
        <is>
          <t>SPD-2724 VoP Bulk Checker Iteration 1</t>
        </is>
      </c>
      <c r="D17" s="12">
        <f>SUMIFS(Detail!$G$4:$G$131,Detail!$A$4:$A$131,$A$2,Detail!$B$4:$B$131,$A17,Detail!$C$4:$C$131,$B17)</f>
        <v/>
      </c>
    </row>
    <row r="18">
      <c r="A18" s="10" t="inlineStr">
        <is>
          <t>Gerard Veldman</t>
        </is>
      </c>
      <c r="B18" s="10" t="inlineStr">
        <is>
          <t>SPD-3135</t>
        </is>
      </c>
      <c r="C18" s="10" t="inlineStr">
        <is>
          <t>SPD-3135 VoP Bulk Webhook</t>
        </is>
      </c>
      <c r="D18" s="12">
        <f>SUMIFS(Detail!$G$4:$G$131,Detail!$A$4:$A$131,$A$2,Detail!$B$4:$B$131,$A18,Detail!$C$4:$C$131,$B18)</f>
        <v/>
      </c>
    </row>
    <row r="19">
      <c r="A19" s="10" t="inlineStr">
        <is>
          <t>Manali Shah</t>
        </is>
      </c>
      <c r="B19" s="10" t="inlineStr">
        <is>
          <t>SPD-2723</t>
        </is>
      </c>
      <c r="C19" s="10" t="inlineStr">
        <is>
          <t>SPD-2723 VoP Algorithm for BE GoLive</t>
        </is>
      </c>
      <c r="D19" s="12">
        <f>SUMIFS(Detail!$G$4:$G$131,Detail!$A$4:$A$131,$A$2,Detail!$B$4:$B$131,$A19,Detail!$C$4:$C$131,$B19)</f>
        <v/>
      </c>
    </row>
    <row r="20">
      <c r="A20" s="10" t="inlineStr">
        <is>
          <t>Manali Shah</t>
        </is>
      </c>
      <c r="B20" s="10" t="inlineStr">
        <is>
          <t>SPD-2834</t>
        </is>
      </c>
      <c r="C20" s="10" t="inlineStr">
        <is>
          <t>SPD-2834 VoP Data Hosting Iteration 2</t>
        </is>
      </c>
      <c r="D20" s="12">
        <f>SUMIFS(Detail!$G$4:$G$131,Detail!$A$4:$A$131,$A$2,Detail!$B$4:$B$131,$A20,Detail!$C$4:$C$131,$B20)</f>
        <v/>
      </c>
    </row>
    <row r="21">
      <c r="A21" s="10" t="inlineStr">
        <is>
          <t>Manali Shah</t>
        </is>
      </c>
      <c r="B21" s="10" t="inlineStr">
        <is>
          <t>SPD-3094</t>
        </is>
      </c>
      <c r="C21" s="10" t="inlineStr">
        <is>
          <t>SPD-3094 VoP Algorithm IPR Ready</t>
        </is>
      </c>
      <c r="D21" s="12">
        <f>SUMIFS(Detail!$G$4:$G$131,Detail!$A$4:$A$131,$A$2,Detail!$B$4:$B$131,$A21,Detail!$C$4:$C$131,$B21)</f>
        <v/>
      </c>
    </row>
    <row r="22">
      <c r="A22" s="10" t="inlineStr">
        <is>
          <t>Elisabeth Gie</t>
        </is>
      </c>
      <c r="B22" s="10" t="inlineStr">
        <is>
          <t>SPD-2749</t>
        </is>
      </c>
      <c r="C22" s="10" t="inlineStr">
        <is>
          <t>SPD-2749 VoP Data Hosting Ingester v1</t>
        </is>
      </c>
      <c r="D22" s="12">
        <f>SUMIFS(Detail!$G$4:$G$131,Detail!$A$4:$A$131,$A$2,Detail!$B$4:$B$131,$A22,Detail!$C$4:$C$131,$B22)</f>
        <v/>
      </c>
    </row>
    <row r="23">
      <c r="A23" s="10" t="inlineStr">
        <is>
          <t>Chaitanya Sagi</t>
        </is>
      </c>
      <c r="B23" s="10" t="inlineStr">
        <is>
          <t>SPD-3012</t>
        </is>
      </c>
      <c r="C23" s="10" t="inlineStr">
        <is>
          <t>SPD-3012 VoP Bulk Checker Iteration 2</t>
        </is>
      </c>
      <c r="D23" s="12">
        <f>SUMIFS(Detail!$G$4:$G$131,Detail!$A$4:$A$131,$A$2,Detail!$B$4:$B$131,$A23,Detail!$C$4:$C$131,$B23)</f>
        <v/>
      </c>
    </row>
    <row r="24">
      <c r="A24" s="17" t="n"/>
      <c r="B24" s="17" t="n"/>
      <c r="C24" s="18" t="inlineStr">
        <is>
          <t>TEAM TOTAL</t>
        </is>
      </c>
      <c r="D24" s="19">
        <f>SUM(D5:D23)</f>
        <v/>
      </c>
    </row>
    <row r="27">
      <c r="A27" s="6" t="inlineStr">
        <is>
          <t>Per engineer</t>
        </is>
      </c>
    </row>
    <row r="28">
      <c r="A28" s="9" t="inlineStr">
        <is>
          <t>Engineer</t>
        </is>
      </c>
      <c r="B28" s="9" t="inlineStr">
        <is>
          <t>WBSO hours</t>
        </is>
      </c>
      <c r="C28" s="9" t="inlineStr">
        <is>
          <t>Day equivalent</t>
        </is>
      </c>
      <c r="D28" s="9" t="inlineStr">
        <is>
          <t>Active days</t>
        </is>
      </c>
      <c r="E28" s="9" t="inlineStr">
        <is>
          <t>Capacity hours</t>
        </is>
      </c>
      <c r="F28" s="9" t="inlineStr">
        <is>
          <t>WBSO share</t>
        </is>
      </c>
      <c r="G28" s="9" t="inlineStr">
        <is>
          <t>Peak tickets/day</t>
        </is>
      </c>
    </row>
    <row r="29">
      <c r="A29" s="10" t="inlineStr">
        <is>
          <t>Sridhar Gnanasekaran</t>
        </is>
      </c>
      <c r="B29" s="12">
        <f>SUMIFS(Detail!$G$4:$G$131,Detail!$A$4:$A$131,$A$2,Detail!$B$4:$B$131,$A29)</f>
        <v/>
      </c>
      <c r="C29" s="12">
        <f>IFERROR($B29/Assumptions!$B$5,0)</f>
        <v/>
      </c>
      <c r="D29" s="11" t="n">
        <v>24</v>
      </c>
      <c r="E29" s="12">
        <f>$D29*Assumptions!$B$5</f>
        <v/>
      </c>
      <c r="F29" s="13">
        <f>IFERROR($B29/$E29,0)</f>
        <v/>
      </c>
      <c r="G29" s="11" t="inlineStr">
        <is>
          <t>2 on 23 Jul</t>
        </is>
      </c>
    </row>
    <row r="30">
      <c r="A30" s="10" t="inlineStr">
        <is>
          <t>Juanma Tastzian</t>
        </is>
      </c>
      <c r="B30" s="12">
        <f>SUMIFS(Detail!$G$4:$G$131,Detail!$A$4:$A$131,$A$2,Detail!$B$4:$B$131,$A30)</f>
        <v/>
      </c>
      <c r="C30" s="12">
        <f>IFERROR($B30/Assumptions!$B$5,0)</f>
        <v/>
      </c>
      <c r="D30" s="11" t="n">
        <v>24</v>
      </c>
      <c r="E30" s="12">
        <f>$D30*Assumptions!$B$5</f>
        <v/>
      </c>
      <c r="F30" s="13">
        <f>IFERROR($B30/$E30,0)</f>
        <v/>
      </c>
      <c r="G30" s="11" t="inlineStr">
        <is>
          <t>3 on 22 Jul</t>
        </is>
      </c>
    </row>
    <row r="31">
      <c r="A31" s="10" t="inlineStr">
        <is>
          <t>Keerthi Shankar</t>
        </is>
      </c>
      <c r="B31" s="12">
        <f>SUMIFS(Detail!$G$4:$G$131,Detail!$A$4:$A$131,$A$2,Detail!$B$4:$B$131,$A31)</f>
        <v/>
      </c>
      <c r="C31" s="12">
        <f>IFERROR($B31/Assumptions!$B$5,0)</f>
        <v/>
      </c>
      <c r="D31" s="11" t="n">
        <v>23</v>
      </c>
      <c r="E31" s="12">
        <f>$D31*Assumptions!$B$5</f>
        <v/>
      </c>
      <c r="F31" s="13">
        <f>IFERROR($B31/$E31,0)</f>
        <v/>
      </c>
      <c r="G31" s="11" t="inlineStr">
        <is>
          <t>3 on 04 Jul</t>
        </is>
      </c>
    </row>
    <row r="32">
      <c r="A32" s="10" t="inlineStr">
        <is>
          <t>borys.rudenko</t>
        </is>
      </c>
      <c r="B32" s="12">
        <f>SUMIFS(Detail!$G$4:$G$131,Detail!$A$4:$A$131,$A$2,Detail!$B$4:$B$131,$A32)</f>
        <v/>
      </c>
      <c r="C32" s="12">
        <f>IFERROR($B32/Assumptions!$B$5,0)</f>
        <v/>
      </c>
      <c r="D32" s="11" t="n">
        <v>20</v>
      </c>
      <c r="E32" s="12">
        <f>$D32*Assumptions!$B$5</f>
        <v/>
      </c>
      <c r="F32" s="13">
        <f>IFERROR($B32/$E32,0)</f>
        <v/>
      </c>
      <c r="G32" s="11" t="inlineStr">
        <is>
          <t>1 on 07 Jul</t>
        </is>
      </c>
    </row>
    <row r="33">
      <c r="A33" s="10" t="inlineStr">
        <is>
          <t>Diego Silva</t>
        </is>
      </c>
      <c r="B33" s="12">
        <f>SUMIFS(Detail!$G$4:$G$131,Detail!$A$4:$A$131,$A$2,Detail!$B$4:$B$131,$A33)</f>
        <v/>
      </c>
      <c r="C33" s="12">
        <f>IFERROR($B33/Assumptions!$B$5,0)</f>
        <v/>
      </c>
      <c r="D33" s="11" t="n">
        <v>24</v>
      </c>
      <c r="E33" s="12">
        <f>$D33*Assumptions!$B$5</f>
        <v/>
      </c>
      <c r="F33" s="13">
        <f>IFERROR($B33/$E33,0)</f>
        <v/>
      </c>
      <c r="G33" s="11" t="inlineStr">
        <is>
          <t>4 on 03 Jul</t>
        </is>
      </c>
    </row>
    <row r="34">
      <c r="A34" s="10" t="inlineStr">
        <is>
          <t>Gerard Veldman</t>
        </is>
      </c>
      <c r="B34" s="12">
        <f>SUMIFS(Detail!$G$4:$G$131,Detail!$A$4:$A$131,$A$2,Detail!$B$4:$B$131,$A34)</f>
        <v/>
      </c>
      <c r="C34" s="12">
        <f>IFERROR($B34/Assumptions!$B$5,0)</f>
        <v/>
      </c>
      <c r="D34" s="11" t="n">
        <v>21</v>
      </c>
      <c r="E34" s="12">
        <f>$D34*Assumptions!$B$5</f>
        <v/>
      </c>
      <c r="F34" s="13">
        <f>IFERROR($B34/$E34,0)</f>
        <v/>
      </c>
      <c r="G34" s="11" t="inlineStr">
        <is>
          <t>6 on 17 Jul</t>
        </is>
      </c>
    </row>
    <row r="35">
      <c r="A35" s="10" t="inlineStr">
        <is>
          <t>Manali Shah</t>
        </is>
      </c>
      <c r="B35" s="12">
        <f>SUMIFS(Detail!$G$4:$G$131,Detail!$A$4:$A$131,$A$2,Detail!$B$4:$B$131,$A35)</f>
        <v/>
      </c>
      <c r="C35" s="12">
        <f>IFERROR($B35/Assumptions!$B$5,0)</f>
        <v/>
      </c>
      <c r="D35" s="11" t="n">
        <v>24</v>
      </c>
      <c r="E35" s="12">
        <f>$D35*Assumptions!$B$5</f>
        <v/>
      </c>
      <c r="F35" s="13">
        <f>IFERROR($B35/$E35,0)</f>
        <v/>
      </c>
      <c r="G35" s="11" t="inlineStr">
        <is>
          <t>3 on 18 Jul</t>
        </is>
      </c>
    </row>
    <row r="36">
      <c r="A36" s="10" t="inlineStr">
        <is>
          <t>Elisabeth Gie</t>
        </is>
      </c>
      <c r="B36" s="12">
        <f>SUMIFS(Detail!$G$4:$G$131,Detail!$A$4:$A$131,$A$2,Detail!$B$4:$B$131,$A36)</f>
        <v/>
      </c>
      <c r="C36" s="12">
        <f>IFERROR($B36/Assumptions!$B$5,0)</f>
        <v/>
      </c>
      <c r="D36" s="11" t="n">
        <v>2</v>
      </c>
      <c r="E36" s="12">
        <f>$D36*Assumptions!$B$5</f>
        <v/>
      </c>
      <c r="F36" s="13">
        <f>IFERROR($B36/$E36,0)</f>
        <v/>
      </c>
      <c r="G36" s="11" t="inlineStr">
        <is>
          <t>1 on 01 Jul</t>
        </is>
      </c>
    </row>
    <row r="37">
      <c r="A37" s="10" t="inlineStr">
        <is>
          <t>Chaitanya Sagi</t>
        </is>
      </c>
      <c r="B37" s="12">
        <f>SUMIFS(Detail!$G$4:$G$131,Detail!$A$4:$A$131,$A$2,Detail!$B$4:$B$131,$A37)</f>
        <v/>
      </c>
      <c r="C37" s="12">
        <f>IFERROR($B37/Assumptions!$B$5,0)</f>
        <v/>
      </c>
      <c r="D37" s="11" t="n">
        <v>21</v>
      </c>
      <c r="E37" s="12">
        <f>$D37*Assumptions!$B$5</f>
        <v/>
      </c>
      <c r="F37" s="13">
        <f>IFERROR($B37/$E37,0)</f>
        <v/>
      </c>
      <c r="G37" s="11" t="inlineStr">
        <is>
          <t>3 on 22 Jul</t>
        </is>
      </c>
    </row>
    <row r="38">
      <c r="A38" s="3" t="inlineStr">
        <is>
          <t>TOTAL</t>
        </is>
      </c>
      <c r="B38" s="15">
        <f>SUM(B29:B37)</f>
        <v/>
      </c>
      <c r="C38" s="15">
        <f>SUM(C29:C37)</f>
        <v/>
      </c>
      <c r="D38" s="15">
        <f>SUM(D29:D37)</f>
        <v/>
      </c>
      <c r="E38" s="15">
        <f>SUM(E29:E37)</f>
        <v/>
      </c>
      <c r="F38" s="16">
        <f>IFERROR($B38/$E38,0)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2025-07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Orwa Badran</t>
        </is>
      </c>
      <c r="B5" s="10" t="inlineStr">
        <is>
          <t>SDO-7438</t>
        </is>
      </c>
      <c r="C5" s="10" t="inlineStr">
        <is>
          <t>SDO-7438 VOP Gateway - Enhancements</t>
        </is>
      </c>
      <c r="D5" s="12">
        <f>SUMIFS(Detail!$G$4:$G$131,Detail!$A$4:$A$131,$A$2,Detail!$B$4:$B$131,$A5,Detail!$C$4:$C$131,$B5)</f>
        <v/>
      </c>
    </row>
    <row r="6">
      <c r="A6" s="10" t="inlineStr">
        <is>
          <t>Orwa Badran</t>
        </is>
      </c>
      <c r="B6" s="10" t="inlineStr">
        <is>
          <t>SDO-7620</t>
        </is>
      </c>
      <c r="C6" s="10" t="inlineStr">
        <is>
          <t>SDO-7620 Accounts override - manual loading</t>
        </is>
      </c>
      <c r="D6" s="12">
        <f>SUMIFS(Detail!$G$4:$G$131,Detail!$A$4:$A$131,$A$2,Detail!$B$4:$B$131,$A6,Detail!$C$4:$C$131,$B6)</f>
        <v/>
      </c>
    </row>
    <row r="7">
      <c r="A7" s="10" t="inlineStr">
        <is>
          <t>Orwa Badran</t>
        </is>
      </c>
      <c r="B7" s="10" t="inlineStr">
        <is>
          <t>SDO-7634</t>
        </is>
      </c>
      <c r="C7" s="10" t="inlineStr">
        <is>
          <t>SDO-7634 BIC Enrichment</t>
        </is>
      </c>
      <c r="D7" s="12">
        <f>SUMIFS(Detail!$G$4:$G$131,Detail!$A$4:$A$131,$A$2,Detail!$B$4:$B$131,$A7,Detail!$C$4:$C$131,$B7)</f>
        <v/>
      </c>
    </row>
    <row r="8">
      <c r="A8" s="10" t="inlineStr">
        <is>
          <t>Sheik Farzand Razi</t>
        </is>
      </c>
      <c r="B8" s="10" t="inlineStr">
        <is>
          <t>SDO-5021</t>
        </is>
      </c>
      <c r="C8" s="10" t="inlineStr">
        <is>
          <t xml:space="preserve">SDO-5021 Service Improvements </t>
        </is>
      </c>
      <c r="D8" s="12">
        <f>SUMIFS(Detail!$G$4:$G$131,Detail!$A$4:$A$131,$A$2,Detail!$B$4:$B$131,$A8,Detail!$C$4:$C$131,$B8)</f>
        <v/>
      </c>
    </row>
    <row r="9">
      <c r="A9" s="10" t="inlineStr">
        <is>
          <t>Sheik Farzand Razi</t>
        </is>
      </c>
      <c r="B9" s="10" t="inlineStr">
        <is>
          <t>SDO-7438</t>
        </is>
      </c>
      <c r="C9" s="10" t="inlineStr">
        <is>
          <t>SDO-7438 VOP Gateway - Enhancements</t>
        </is>
      </c>
      <c r="D9" s="12">
        <f>SUMIFS(Detail!$G$4:$G$131,Detail!$A$4:$A$131,$A$2,Detail!$B$4:$B$131,$A9,Detail!$C$4:$C$131,$B9)</f>
        <v/>
      </c>
    </row>
    <row r="10">
      <c r="A10" s="10" t="inlineStr">
        <is>
          <t>Sheik Farzand Razi</t>
        </is>
      </c>
      <c r="B10" s="10" t="inlineStr">
        <is>
          <t>SDO-7622</t>
        </is>
      </c>
      <c r="C10" s="10" t="inlineStr">
        <is>
          <t>SDO-7622 VOP Performance investigation</t>
        </is>
      </c>
      <c r="D10" s="12">
        <f>SUMIFS(Detail!$G$4:$G$131,Detail!$A$4:$A$131,$A$2,Detail!$B$4:$B$131,$A10,Detail!$C$4:$C$131,$B10)</f>
        <v/>
      </c>
    </row>
    <row r="11">
      <c r="A11" s="10" t="inlineStr">
        <is>
          <t>Muhammad Sulaiman</t>
        </is>
      </c>
      <c r="B11" s="10" t="inlineStr">
        <is>
          <t>SDO-5021</t>
        </is>
      </c>
      <c r="C11" s="10" t="inlineStr">
        <is>
          <t xml:space="preserve">SDO-5021 Service Improvements </t>
        </is>
      </c>
      <c r="D11" s="12">
        <f>SUMIFS(Detail!$G$4:$G$131,Detail!$A$4:$A$131,$A$2,Detail!$B$4:$B$131,$A11,Detail!$C$4:$C$131,$B11)</f>
        <v/>
      </c>
    </row>
    <row r="12">
      <c r="A12" s="10" t="inlineStr">
        <is>
          <t>Muhammad Sulaiman</t>
        </is>
      </c>
      <c r="B12" s="10" t="inlineStr">
        <is>
          <t>SDO-7438</t>
        </is>
      </c>
      <c r="C12" s="10" t="inlineStr">
        <is>
          <t>SDO-7438 VOP Gateway - Enhancements</t>
        </is>
      </c>
      <c r="D12" s="12">
        <f>SUMIFS(Detail!$G$4:$G$131,Detail!$A$4:$A$131,$A$2,Detail!$B$4:$B$131,$A12,Detail!$C$4:$C$131,$B12)</f>
        <v/>
      </c>
    </row>
    <row r="13">
      <c r="A13" s="10" t="inlineStr">
        <is>
          <t>Ioannis Argyroulis</t>
        </is>
      </c>
      <c r="B13" s="10" t="inlineStr">
        <is>
          <t>SDO-7438</t>
        </is>
      </c>
      <c r="C13" s="10" t="inlineStr">
        <is>
          <t>SDO-7438 VOP Gateway - Enhancements</t>
        </is>
      </c>
      <c r="D13" s="12">
        <f>SUMIFS(Detail!$G$4:$G$131,Detail!$A$4:$A$131,$A$2,Detail!$B$4:$B$131,$A13,Detail!$C$4:$C$131,$B13)</f>
        <v/>
      </c>
    </row>
    <row r="14">
      <c r="A14" s="10" t="inlineStr">
        <is>
          <t>Adorjan Fritz</t>
        </is>
      </c>
      <c r="B14" s="10" t="inlineStr">
        <is>
          <t>SDO-8067</t>
        </is>
      </c>
      <c r="C14" s="10" t="inlineStr">
        <is>
          <t>SDO-8067 Swift outbound v3</t>
        </is>
      </c>
      <c r="D14" s="12">
        <f>SUMIFS(Detail!$G$4:$G$131,Detail!$A$4:$A$131,$A$2,Detail!$B$4:$B$131,$A14,Detail!$C$4:$C$131,$B14)</f>
        <v/>
      </c>
    </row>
    <row r="15">
      <c r="A15" s="10" t="inlineStr">
        <is>
          <t>Ismail Kuyu</t>
        </is>
      </c>
      <c r="B15" s="10" t="inlineStr">
        <is>
          <t>SDO-7622</t>
        </is>
      </c>
      <c r="C15" s="10" t="inlineStr">
        <is>
          <t>SDO-7622 VOP Performance investigation</t>
        </is>
      </c>
      <c r="D15" s="12">
        <f>SUMIFS(Detail!$G$4:$G$131,Detail!$A$4:$A$131,$A$2,Detail!$B$4:$B$131,$A15,Detail!$C$4:$C$131,$B15)</f>
        <v/>
      </c>
    </row>
    <row r="16">
      <c r="A16" s="17" t="n"/>
      <c r="B16" s="17" t="n"/>
      <c r="C16" s="18" t="inlineStr">
        <is>
          <t>TEAM TOTAL</t>
        </is>
      </c>
      <c r="D16" s="19">
        <f>SUM(D5:D15)</f>
        <v/>
      </c>
    </row>
    <row r="19">
      <c r="A19" s="6" t="inlineStr">
        <is>
          <t>Per engineer</t>
        </is>
      </c>
    </row>
    <row r="20">
      <c r="A20" s="9" t="inlineStr">
        <is>
          <t>Engineer</t>
        </is>
      </c>
      <c r="B20" s="9" t="inlineStr">
        <is>
          <t>WBSO hours</t>
        </is>
      </c>
      <c r="C20" s="9" t="inlineStr">
        <is>
          <t>Day equivalent</t>
        </is>
      </c>
      <c r="D20" s="9" t="inlineStr">
        <is>
          <t>Active days</t>
        </is>
      </c>
      <c r="E20" s="9" t="inlineStr">
        <is>
          <t>Capacity hours</t>
        </is>
      </c>
      <c r="F20" s="9" t="inlineStr">
        <is>
          <t>WBSO share</t>
        </is>
      </c>
      <c r="G20" s="9" t="inlineStr">
        <is>
          <t>Peak tickets/day</t>
        </is>
      </c>
    </row>
    <row r="21">
      <c r="A21" s="10" t="inlineStr">
        <is>
          <t>Orwa Badran</t>
        </is>
      </c>
      <c r="B21" s="12">
        <f>SUMIFS(Detail!$G$4:$G$131,Detail!$A$4:$A$131,$A$2,Detail!$B$4:$B$131,$A21)</f>
        <v/>
      </c>
      <c r="C21" s="12">
        <f>IFERROR($B21/Assumptions!$B$5,0)</f>
        <v/>
      </c>
      <c r="D21" s="11" t="n">
        <v>24</v>
      </c>
      <c r="E21" s="12">
        <f>$D21*Assumptions!$B$5</f>
        <v/>
      </c>
      <c r="F21" s="13">
        <f>IFERROR($B21/$E21,0)</f>
        <v/>
      </c>
      <c r="G21" s="11" t="inlineStr">
        <is>
          <t>4 on 07 Jul</t>
        </is>
      </c>
    </row>
    <row r="22">
      <c r="A22" s="10" t="inlineStr">
        <is>
          <t>Sheik Farzand Razi</t>
        </is>
      </c>
      <c r="B22" s="12">
        <f>SUMIFS(Detail!$G$4:$G$131,Detail!$A$4:$A$131,$A$2,Detail!$B$4:$B$131,$A22)</f>
        <v/>
      </c>
      <c r="C22" s="12">
        <f>IFERROR($B22/Assumptions!$B$5,0)</f>
        <v/>
      </c>
      <c r="D22" s="11" t="n">
        <v>24</v>
      </c>
      <c r="E22" s="12">
        <f>$D22*Assumptions!$B$5</f>
        <v/>
      </c>
      <c r="F22" s="13">
        <f>IFERROR($B22/$E22,0)</f>
        <v/>
      </c>
      <c r="G22" s="11" t="inlineStr">
        <is>
          <t>5 on 08 Jul</t>
        </is>
      </c>
    </row>
    <row r="23">
      <c r="A23" s="10" t="inlineStr">
        <is>
          <t>Muhammad Sulaiman</t>
        </is>
      </c>
      <c r="B23" s="12">
        <f>SUMIFS(Detail!$G$4:$G$131,Detail!$A$4:$A$131,$A$2,Detail!$B$4:$B$131,$A23)</f>
        <v/>
      </c>
      <c r="C23" s="12">
        <f>IFERROR($B23/Assumptions!$B$5,0)</f>
        <v/>
      </c>
      <c r="D23" s="11" t="n">
        <v>24</v>
      </c>
      <c r="E23" s="12">
        <f>$D23*Assumptions!$B$5</f>
        <v/>
      </c>
      <c r="F23" s="13">
        <f>IFERROR($B23/$E23,0)</f>
        <v/>
      </c>
      <c r="G23" s="11" t="inlineStr">
        <is>
          <t>6 on 14 Jul</t>
        </is>
      </c>
    </row>
    <row r="24">
      <c r="A24" s="10" t="inlineStr">
        <is>
          <t>Ioannis Argyroulis</t>
        </is>
      </c>
      <c r="B24" s="12">
        <f>SUMIFS(Detail!$G$4:$G$131,Detail!$A$4:$A$131,$A$2,Detail!$B$4:$B$131,$A24)</f>
        <v/>
      </c>
      <c r="C24" s="12">
        <f>IFERROR($B24/Assumptions!$B$5,0)</f>
        <v/>
      </c>
      <c r="D24" s="11" t="n">
        <v>23</v>
      </c>
      <c r="E24" s="12">
        <f>$D24*Assumptions!$B$5</f>
        <v/>
      </c>
      <c r="F24" s="13">
        <f>IFERROR($B24/$E24,0)</f>
        <v/>
      </c>
      <c r="G24" s="11" t="inlineStr">
        <is>
          <t>3 on 02 Jul</t>
        </is>
      </c>
    </row>
    <row r="25">
      <c r="A25" s="10" t="inlineStr">
        <is>
          <t>Adorjan Fritz</t>
        </is>
      </c>
      <c r="B25" s="12">
        <f>SUMIFS(Detail!$G$4:$G$131,Detail!$A$4:$A$131,$A$2,Detail!$B$4:$B$131,$A25)</f>
        <v/>
      </c>
      <c r="C25" s="12">
        <f>IFERROR($B25/Assumptions!$B$5,0)</f>
        <v/>
      </c>
      <c r="D25" s="11" t="n">
        <v>4</v>
      </c>
      <c r="E25" s="12">
        <f>$D25*Assumptions!$B$5</f>
        <v/>
      </c>
      <c r="F25" s="13">
        <f>IFERROR($B25/$E25,0)</f>
        <v/>
      </c>
      <c r="G25" s="11" t="inlineStr">
        <is>
          <t>1 on 04 Jul</t>
        </is>
      </c>
    </row>
    <row r="26">
      <c r="A26" s="10" t="inlineStr">
        <is>
          <t>Ismail Kuyu</t>
        </is>
      </c>
      <c r="B26" s="12">
        <f>SUMIFS(Detail!$G$4:$G$131,Detail!$A$4:$A$131,$A$2,Detail!$B$4:$B$131,$A26)</f>
        <v/>
      </c>
      <c r="C26" s="12">
        <f>IFERROR($B26/Assumptions!$B$5,0)</f>
        <v/>
      </c>
      <c r="D26" s="11" t="n">
        <v>24</v>
      </c>
      <c r="E26" s="12">
        <f>$D26*Assumptions!$B$5</f>
        <v/>
      </c>
      <c r="F26" s="13">
        <f>IFERROR($B26/$E26,0)</f>
        <v/>
      </c>
      <c r="G26" s="11" t="inlineStr">
        <is>
          <t>4 on 01 Jul</t>
        </is>
      </c>
    </row>
    <row r="27">
      <c r="A27" s="3" t="inlineStr">
        <is>
          <t>TOTAL</t>
        </is>
      </c>
      <c r="B27" s="15">
        <f>SUM(B21:B26)</f>
        <v/>
      </c>
      <c r="C27" s="15">
        <f>SUM(C21:C26)</f>
        <v/>
      </c>
      <c r="D27" s="15">
        <f>SUM(D21:D26)</f>
        <v/>
      </c>
      <c r="E27" s="15">
        <f>SUM(E21:E26)</f>
        <v/>
      </c>
      <c r="F27" s="16">
        <f>IFERROR($B27/$E27,0)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2025-07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Parth Mewada</t>
        </is>
      </c>
      <c r="B5" s="10" t="inlineStr">
        <is>
          <t>YODA-1429</t>
        </is>
      </c>
      <c r="C5" s="10" t="inlineStr">
        <is>
          <t>YODA-1429 [Audit] Backup strategy</t>
        </is>
      </c>
      <c r="D5" s="12">
        <f>SUMIFS(Detail!$G$4:$G$131,Detail!$A$4:$A$131,$A$2,Detail!$B$4:$B$131,$A5,Detail!$C$4:$C$131,$B5)</f>
        <v/>
      </c>
    </row>
    <row r="6">
      <c r="A6" s="10" t="inlineStr">
        <is>
          <t>Parth Mewada</t>
        </is>
      </c>
      <c r="B6" s="10" t="inlineStr">
        <is>
          <t>YODA-1430</t>
        </is>
      </c>
      <c r="C6" s="10" t="inlineStr">
        <is>
          <t>YODA-1430 [Audit] Roll out</t>
        </is>
      </c>
      <c r="D6" s="12">
        <f>SUMIFS(Detail!$G$4:$G$131,Detail!$A$4:$A$131,$A$2,Detail!$B$4:$B$131,$A6,Detail!$C$4:$C$131,$B6)</f>
        <v/>
      </c>
    </row>
    <row r="7">
      <c r="A7" s="10" t="inlineStr">
        <is>
          <t>Parth Mewada</t>
        </is>
      </c>
      <c r="B7" s="10" t="inlineStr">
        <is>
          <t>YODA-1565</t>
        </is>
      </c>
      <c r="C7" s="10" t="inlineStr">
        <is>
          <t>YODA-1565 [Audit] Add second cluster: Ireland</t>
        </is>
      </c>
      <c r="D7" s="12">
        <f>SUMIFS(Detail!$G$4:$G$131,Detail!$A$4:$A$131,$A$2,Detail!$B$4:$B$131,$A7,Detail!$C$4:$C$131,$B7)</f>
        <v/>
      </c>
    </row>
    <row r="8">
      <c r="A8" s="10" t="inlineStr">
        <is>
          <t>Ramseshu Ghanta</t>
        </is>
      </c>
      <c r="B8" s="10" t="inlineStr">
        <is>
          <t>YODA-1413</t>
        </is>
      </c>
      <c r="C8" s="10" t="inlineStr">
        <is>
          <t>YODA-1413 OPA VOP for JPM</t>
        </is>
      </c>
      <c r="D8" s="12">
        <f>SUMIFS(Detail!$G$4:$G$131,Detail!$A$4:$A$131,$A$2,Detail!$B$4:$B$131,$A8,Detail!$C$4:$C$131,$B8)</f>
        <v/>
      </c>
    </row>
    <row r="9">
      <c r="A9" s="10" t="inlineStr">
        <is>
          <t>Ramseshu Ghanta</t>
        </is>
      </c>
      <c r="B9" s="10" t="inlineStr">
        <is>
          <t>YODA-1429</t>
        </is>
      </c>
      <c r="C9" s="10" t="inlineStr">
        <is>
          <t>YODA-1429 [Audit] Backup strategy</t>
        </is>
      </c>
      <c r="D9" s="12">
        <f>SUMIFS(Detail!$G$4:$G$131,Detail!$A$4:$A$131,$A$2,Detail!$B$4:$B$131,$A9,Detail!$C$4:$C$131,$B9)</f>
        <v/>
      </c>
    </row>
    <row r="10">
      <c r="A10" s="10" t="inlineStr">
        <is>
          <t>Ramseshu Ghanta</t>
        </is>
      </c>
      <c r="B10" s="10" t="inlineStr">
        <is>
          <t>YODA-1430</t>
        </is>
      </c>
      <c r="C10" s="10" t="inlineStr">
        <is>
          <t>YODA-1430 [Audit] Roll out</t>
        </is>
      </c>
      <c r="D10" s="12">
        <f>SUMIFS(Detail!$G$4:$G$131,Detail!$A$4:$A$131,$A$2,Detail!$B$4:$B$131,$A10,Detail!$C$4:$C$131,$B10)</f>
        <v/>
      </c>
    </row>
    <row r="11">
      <c r="A11" s="10" t="inlineStr">
        <is>
          <t>Ramseshu Ghanta</t>
        </is>
      </c>
      <c r="B11" s="10" t="inlineStr">
        <is>
          <t>YODA-1565</t>
        </is>
      </c>
      <c r="C11" s="10" t="inlineStr">
        <is>
          <t>YODA-1565 [Audit] Add second cluster: Ireland</t>
        </is>
      </c>
      <c r="D11" s="12">
        <f>SUMIFS(Detail!$G$4:$G$131,Detail!$A$4:$A$131,$A$2,Detail!$B$4:$B$131,$A11,Detail!$C$4:$C$131,$B11)</f>
        <v/>
      </c>
    </row>
    <row r="12">
      <c r="A12" s="10" t="inlineStr">
        <is>
          <t>Julian Mulder</t>
        </is>
      </c>
      <c r="B12" s="10" t="inlineStr">
        <is>
          <t>YODA-1429</t>
        </is>
      </c>
      <c r="C12" s="10" t="inlineStr">
        <is>
          <t>YODA-1429 [Audit] Backup strategy</t>
        </is>
      </c>
      <c r="D12" s="12">
        <f>SUMIFS(Detail!$G$4:$G$131,Detail!$A$4:$A$131,$A$2,Detail!$B$4:$B$131,$A12,Detail!$C$4:$C$131,$B12)</f>
        <v/>
      </c>
    </row>
    <row r="13">
      <c r="A13" s="10" t="inlineStr">
        <is>
          <t>Richard Oliver</t>
        </is>
      </c>
      <c r="B13" s="10" t="inlineStr">
        <is>
          <t>YODA-1413</t>
        </is>
      </c>
      <c r="C13" s="10" t="inlineStr">
        <is>
          <t>YODA-1413 OPA VOP for JPM</t>
        </is>
      </c>
      <c r="D13" s="12">
        <f>SUMIFS(Detail!$G$4:$G$131,Detail!$A$4:$A$131,$A$2,Detail!$B$4:$B$131,$A13,Detail!$C$4:$C$131,$B13)</f>
        <v/>
      </c>
    </row>
    <row r="14">
      <c r="A14" s="10" t="inlineStr">
        <is>
          <t>Marin Onofrei</t>
        </is>
      </c>
      <c r="B14" s="10" t="inlineStr">
        <is>
          <t>YODA-1430</t>
        </is>
      </c>
      <c r="C14" s="10" t="inlineStr">
        <is>
          <t>YODA-1430 [Audit] Roll out</t>
        </is>
      </c>
      <c r="D14" s="12">
        <f>SUMIFS(Detail!$G$4:$G$131,Detail!$A$4:$A$131,$A$2,Detail!$B$4:$B$131,$A14,Detail!$C$4:$C$131,$B14)</f>
        <v/>
      </c>
    </row>
    <row r="15">
      <c r="A15" s="10" t="inlineStr">
        <is>
          <t>Mark Moorcroft</t>
        </is>
      </c>
      <c r="B15" s="10" t="inlineStr">
        <is>
          <t>YODA-1413</t>
        </is>
      </c>
      <c r="C15" s="10" t="inlineStr">
        <is>
          <t>YODA-1413 OPA VOP for JPM</t>
        </is>
      </c>
      <c r="D15" s="12">
        <f>SUMIFS(Detail!$G$4:$G$131,Detail!$A$4:$A$131,$A$2,Detail!$B$4:$B$131,$A15,Detail!$C$4:$C$131,$B15)</f>
        <v/>
      </c>
    </row>
    <row r="16">
      <c r="A16" s="10" t="inlineStr">
        <is>
          <t>Mark Moorcroft</t>
        </is>
      </c>
      <c r="B16" s="10" t="inlineStr">
        <is>
          <t>YODA-1565</t>
        </is>
      </c>
      <c r="C16" s="10" t="inlineStr">
        <is>
          <t>YODA-1565 [Audit] Add second cluster: Ireland</t>
        </is>
      </c>
      <c r="D16" s="12">
        <f>SUMIFS(Detail!$G$4:$G$131,Detail!$A$4:$A$131,$A$2,Detail!$B$4:$B$131,$A16,Detail!$C$4:$C$131,$B16)</f>
        <v/>
      </c>
    </row>
    <row r="17">
      <c r="A17" s="17" t="n"/>
      <c r="B17" s="17" t="n"/>
      <c r="C17" s="18" t="inlineStr">
        <is>
          <t>TEAM TOTAL</t>
        </is>
      </c>
      <c r="D17" s="19">
        <f>SUM(D5:D16)</f>
        <v/>
      </c>
    </row>
    <row r="20">
      <c r="A20" s="6" t="inlineStr">
        <is>
          <t>Per engineer</t>
        </is>
      </c>
    </row>
    <row r="21">
      <c r="A21" s="9" t="inlineStr">
        <is>
          <t>Engineer</t>
        </is>
      </c>
      <c r="B21" s="9" t="inlineStr">
        <is>
          <t>WBSO hours</t>
        </is>
      </c>
      <c r="C21" s="9" t="inlineStr">
        <is>
          <t>Day equivalent</t>
        </is>
      </c>
      <c r="D21" s="9" t="inlineStr">
        <is>
          <t>Active days</t>
        </is>
      </c>
      <c r="E21" s="9" t="inlineStr">
        <is>
          <t>Capacity hours</t>
        </is>
      </c>
      <c r="F21" s="9" t="inlineStr">
        <is>
          <t>WBSO share</t>
        </is>
      </c>
      <c r="G21" s="9" t="inlineStr">
        <is>
          <t>Peak tickets/day</t>
        </is>
      </c>
    </row>
    <row r="22">
      <c r="A22" s="10" t="inlineStr">
        <is>
          <t>Parth Mewada</t>
        </is>
      </c>
      <c r="B22" s="12">
        <f>SUMIFS(Detail!$G$4:$G$131,Detail!$A$4:$A$131,$A$2,Detail!$B$4:$B$131,$A22)</f>
        <v/>
      </c>
      <c r="C22" s="12">
        <f>IFERROR($B22/Assumptions!$B$5,0)</f>
        <v/>
      </c>
      <c r="D22" s="11" t="n">
        <v>24</v>
      </c>
      <c r="E22" s="12">
        <f>$D22*Assumptions!$B$5</f>
        <v/>
      </c>
      <c r="F22" s="13">
        <f>IFERROR($B22/$E22,0)</f>
        <v/>
      </c>
      <c r="G22" s="11" t="inlineStr">
        <is>
          <t>4 on 25 Jul</t>
        </is>
      </c>
    </row>
    <row r="23">
      <c r="A23" s="10" t="inlineStr">
        <is>
          <t>Ramseshu Ghanta</t>
        </is>
      </c>
      <c r="B23" s="12">
        <f>SUMIFS(Detail!$G$4:$G$131,Detail!$A$4:$A$131,$A$2,Detail!$B$4:$B$131,$A23)</f>
        <v/>
      </c>
      <c r="C23" s="12">
        <f>IFERROR($B23/Assumptions!$B$5,0)</f>
        <v/>
      </c>
      <c r="D23" s="11" t="n">
        <v>23</v>
      </c>
      <c r="E23" s="12">
        <f>$D23*Assumptions!$B$5</f>
        <v/>
      </c>
      <c r="F23" s="13">
        <f>IFERROR($B23/$E23,0)</f>
        <v/>
      </c>
      <c r="G23" s="11" t="inlineStr">
        <is>
          <t>4 on 28 Jul</t>
        </is>
      </c>
    </row>
    <row r="24">
      <c r="A24" s="10" t="inlineStr">
        <is>
          <t>Julian Mulder</t>
        </is>
      </c>
      <c r="B24" s="12">
        <f>SUMIFS(Detail!$G$4:$G$131,Detail!$A$4:$A$131,$A$2,Detail!$B$4:$B$131,$A24)</f>
        <v/>
      </c>
      <c r="C24" s="12">
        <f>IFERROR($B24/Assumptions!$B$5,0)</f>
        <v/>
      </c>
      <c r="D24" s="11" t="n">
        <v>8</v>
      </c>
      <c r="E24" s="12">
        <f>$D24*Assumptions!$B$5</f>
        <v/>
      </c>
      <c r="F24" s="13">
        <f>IFERROR($B24/$E24,0)</f>
        <v/>
      </c>
      <c r="G24" s="11" t="inlineStr">
        <is>
          <t>1 on 01 Jul</t>
        </is>
      </c>
    </row>
    <row r="25">
      <c r="A25" s="10" t="inlineStr">
        <is>
          <t>Richard Oliver</t>
        </is>
      </c>
      <c r="B25" s="12">
        <f>SUMIFS(Detail!$G$4:$G$131,Detail!$A$4:$A$131,$A$2,Detail!$B$4:$B$131,$A25)</f>
        <v/>
      </c>
      <c r="C25" s="12">
        <f>IFERROR($B25/Assumptions!$B$5,0)</f>
        <v/>
      </c>
      <c r="D25" s="11" t="n">
        <v>24</v>
      </c>
      <c r="E25" s="12">
        <f>$D25*Assumptions!$B$5</f>
        <v/>
      </c>
      <c r="F25" s="13">
        <f>IFERROR($B25/$E25,0)</f>
        <v/>
      </c>
      <c r="G25" s="11" t="inlineStr">
        <is>
          <t>5 on 22 Jul</t>
        </is>
      </c>
    </row>
    <row r="26">
      <c r="A26" s="10" t="inlineStr">
        <is>
          <t>Marin Onofrei</t>
        </is>
      </c>
      <c r="B26" s="12">
        <f>SUMIFS(Detail!$G$4:$G$131,Detail!$A$4:$A$131,$A$2,Detail!$B$4:$B$131,$A26)</f>
        <v/>
      </c>
      <c r="C26" s="12">
        <f>IFERROR($B26/Assumptions!$B$5,0)</f>
        <v/>
      </c>
      <c r="D26" s="11" t="n">
        <v>8</v>
      </c>
      <c r="E26" s="12">
        <f>$D26*Assumptions!$B$5</f>
        <v/>
      </c>
      <c r="F26" s="13">
        <f>IFERROR($B26/$E26,0)</f>
        <v/>
      </c>
      <c r="G26" s="11" t="inlineStr">
        <is>
          <t>4 on 09 Jul</t>
        </is>
      </c>
    </row>
    <row r="27">
      <c r="A27" s="10" t="inlineStr">
        <is>
          <t>Mark Moorcroft</t>
        </is>
      </c>
      <c r="B27" s="12">
        <f>SUMIFS(Detail!$G$4:$G$131,Detail!$A$4:$A$131,$A$2,Detail!$B$4:$B$131,$A27)</f>
        <v/>
      </c>
      <c r="C27" s="12">
        <f>IFERROR($B27/Assumptions!$B$5,0)</f>
        <v/>
      </c>
      <c r="D27" s="11" t="n">
        <v>24</v>
      </c>
      <c r="E27" s="12">
        <f>$D27*Assumptions!$B$5</f>
        <v/>
      </c>
      <c r="F27" s="13">
        <f>IFERROR($B27/$E27,0)</f>
        <v/>
      </c>
      <c r="G27" s="11" t="inlineStr">
        <is>
          <t>4 on 28 Jul</t>
        </is>
      </c>
    </row>
    <row r="28">
      <c r="A28" s="3" t="inlineStr">
        <is>
          <t>TOTAL</t>
        </is>
      </c>
      <c r="B28" s="15">
        <f>SUM(B22:B27)</f>
        <v/>
      </c>
      <c r="C28" s="15">
        <f>SUM(C22:C27)</f>
        <v/>
      </c>
      <c r="D28" s="15">
        <f>SUM(D22:D27)</f>
        <v/>
      </c>
      <c r="E28" s="15">
        <f>SUM(E22:E27)</f>
        <v/>
      </c>
      <c r="F28" s="16">
        <f>IFERROR($B28/$E28,0)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Pastel de Portal Team</t>
        </is>
      </c>
      <c r="B4" s="10" t="inlineStr">
        <is>
          <t>Vitor Fernandes</t>
        </is>
      </c>
      <c r="C4" s="10" t="inlineStr">
        <is>
          <t>PT-54</t>
        </is>
      </c>
      <c r="D4" s="10" t="inlineStr">
        <is>
          <t>PT-54 VOP File Check</t>
        </is>
      </c>
      <c r="E4" s="10" t="inlineStr">
        <is>
          <t>PT-216</t>
        </is>
      </c>
      <c r="F4" s="10" t="inlineStr">
        <is>
          <t>VoP File Check Refreshing the Statuses</t>
        </is>
      </c>
      <c r="G4" s="20" t="n">
        <v>6.6667</v>
      </c>
    </row>
    <row r="5">
      <c r="A5" s="10" t="inlineStr">
        <is>
          <t>Platform Team 6</t>
        </is>
      </c>
      <c r="B5" s="10" t="inlineStr">
        <is>
          <t>Venkata Narendra Mannam</t>
        </is>
      </c>
      <c r="C5" s="10" t="inlineStr">
        <is>
          <t>PT6-1419</t>
        </is>
      </c>
      <c r="D5" s="10" t="inlineStr">
        <is>
          <t>PT6-1419 Traefik migration V3</t>
        </is>
      </c>
      <c r="E5" s="10" t="inlineStr">
        <is>
          <t>PT6-1642</t>
        </is>
      </c>
      <c r="F5" s="10" t="inlineStr">
        <is>
          <t>Deploy OTel collector or extend elastic agent</t>
        </is>
      </c>
      <c r="G5" s="20" t="n">
        <v>58.6667</v>
      </c>
    </row>
    <row r="6">
      <c r="A6" s="10" t="inlineStr">
        <is>
          <t>Platform Team 6</t>
        </is>
      </c>
      <c r="B6" s="10" t="inlineStr">
        <is>
          <t>Venkata Narendra Mannam</t>
        </is>
      </c>
      <c r="C6" s="10" t="inlineStr">
        <is>
          <t>PT6-1419</t>
        </is>
      </c>
      <c r="D6" s="10" t="inlineStr">
        <is>
          <t>PT6-1419 Traefik migration V3</t>
        </is>
      </c>
      <c r="E6" s="10" t="inlineStr">
        <is>
          <t>PT6-1763</t>
        </is>
      </c>
      <c r="F6" s="10" t="inlineStr">
        <is>
          <t>Setup ECR and Helm for observability controll</t>
        </is>
      </c>
      <c r="G6" s="20" t="n">
        <v>4</v>
      </c>
    </row>
    <row r="7">
      <c r="A7" s="10" t="inlineStr">
        <is>
          <t>Platform Team 6</t>
        </is>
      </c>
      <c r="B7" s="10" t="inlineStr">
        <is>
          <t>Venkata Narendra Mannam</t>
        </is>
      </c>
      <c r="C7" s="10" t="inlineStr">
        <is>
          <t>PT6-1670</t>
        </is>
      </c>
      <c r="D7" s="10" t="inlineStr">
        <is>
          <t xml:space="preserve">PT6-1670 Multi region </t>
        </is>
      </c>
      <c r="E7" s="10" t="inlineStr">
        <is>
          <t>PT6-1784</t>
        </is>
      </c>
      <c r="F7" s="10" t="inlineStr">
        <is>
          <t>Deploy infra-traefik-outbound to second regio</t>
        </is>
      </c>
      <c r="G7" s="20" t="n">
        <v>26.6667</v>
      </c>
    </row>
    <row r="8">
      <c r="A8" s="10" t="inlineStr">
        <is>
          <t>Platform Team 6</t>
        </is>
      </c>
      <c r="B8" s="10" t="inlineStr">
        <is>
          <t>Venkata Narendra Mannam</t>
        </is>
      </c>
      <c r="C8" s="10" t="inlineStr">
        <is>
          <t>PT6-1713</t>
        </is>
      </c>
      <c r="D8" s="10" t="inlineStr">
        <is>
          <t>PT6-1713 Autoscaling</t>
        </is>
      </c>
      <c r="E8" s="10" t="inlineStr">
        <is>
          <t>PT6-1672</t>
        </is>
      </c>
      <c r="F8" s="10" t="inlineStr">
        <is>
          <t>Configure HPA on traefik deployment</t>
        </is>
      </c>
      <c r="G8" s="20" t="n">
        <v>57.3333</v>
      </c>
    </row>
    <row r="9">
      <c r="A9" s="10" t="inlineStr">
        <is>
          <t>Platform Team 6</t>
        </is>
      </c>
      <c r="B9" s="10" t="inlineStr">
        <is>
          <t>Venkata Narendra Mannam</t>
        </is>
      </c>
      <c r="C9" s="10" t="inlineStr">
        <is>
          <t>PT6-1713</t>
        </is>
      </c>
      <c r="D9" s="10" t="inlineStr">
        <is>
          <t>PT6-1713 Autoscaling</t>
        </is>
      </c>
      <c r="E9" s="10" t="inlineStr">
        <is>
          <t>PT6-1735</t>
        </is>
      </c>
      <c r="F9" s="10" t="inlineStr">
        <is>
          <t>Investigate Autoscaling for ECS</t>
        </is>
      </c>
      <c r="G9" s="20" t="n">
        <v>22.6667</v>
      </c>
    </row>
    <row r="10">
      <c r="A10" s="10" t="inlineStr">
        <is>
          <t>Platform Team 6</t>
        </is>
      </c>
      <c r="B10" s="10" t="inlineStr">
        <is>
          <t>Elton Qevani</t>
        </is>
      </c>
      <c r="C10" s="10" t="inlineStr">
        <is>
          <t>PT6-1670</t>
        </is>
      </c>
      <c r="D10" s="10" t="inlineStr">
        <is>
          <t xml:space="preserve">PT6-1670 Multi region </t>
        </is>
      </c>
      <c r="E10" s="10" t="inlineStr">
        <is>
          <t>PT6-1719</t>
        </is>
      </c>
      <c r="F10" s="10" t="inlineStr">
        <is>
          <t>Create infra-eu-network repo</t>
        </is>
      </c>
      <c r="G10" s="20" t="n">
        <v>45.3333</v>
      </c>
    </row>
    <row r="11">
      <c r="A11" s="10" t="inlineStr">
        <is>
          <t>Platform Team 6</t>
        </is>
      </c>
      <c r="B11" s="10" t="inlineStr">
        <is>
          <t>Elton Qevani</t>
        </is>
      </c>
      <c r="C11" s="10" t="inlineStr">
        <is>
          <t>PT6-1670</t>
        </is>
      </c>
      <c r="D11" s="10" t="inlineStr">
        <is>
          <t xml:space="preserve">PT6-1670 Multi region </t>
        </is>
      </c>
      <c r="E11" s="10" t="inlineStr">
        <is>
          <t>PT6-1766</t>
        </is>
      </c>
      <c r="F11" s="10" t="inlineStr">
        <is>
          <t>Deploy infra-admin-nl in central</t>
        </is>
      </c>
      <c r="G11" s="20" t="n">
        <v>38.6667</v>
      </c>
    </row>
    <row r="12">
      <c r="A12" s="10" t="inlineStr">
        <is>
          <t>Platform Team 6</t>
        </is>
      </c>
      <c r="B12" s="10" t="inlineStr">
        <is>
          <t>Elton Qevani</t>
        </is>
      </c>
      <c r="C12" s="10" t="inlineStr">
        <is>
          <t>PT6-1670</t>
        </is>
      </c>
      <c r="D12" s="10" t="inlineStr">
        <is>
          <t xml:space="preserve">PT6-1670 Multi region </t>
        </is>
      </c>
      <c r="E12" s="10" t="inlineStr">
        <is>
          <t>PT6-1731</t>
        </is>
      </c>
      <c r="F12" s="10" t="inlineStr">
        <is>
          <t>Migrate eks-ingress. network to infra-eu-netw</t>
        </is>
      </c>
      <c r="G12" s="20" t="n">
        <v>26.6667</v>
      </c>
    </row>
    <row r="13">
      <c r="A13" s="10" t="inlineStr">
        <is>
          <t>Platform Team 6</t>
        </is>
      </c>
      <c r="B13" s="10" t="inlineStr">
        <is>
          <t>Rafay Khan</t>
        </is>
      </c>
      <c r="C13" s="10" t="inlineStr">
        <is>
          <t>PT6-1670</t>
        </is>
      </c>
      <c r="D13" s="10" t="inlineStr">
        <is>
          <t xml:space="preserve">PT6-1670 Multi region </t>
        </is>
      </c>
      <c r="E13" s="10" t="inlineStr">
        <is>
          <t>PT6-1723</t>
        </is>
      </c>
      <c r="F13" s="10" t="inlineStr">
        <is>
          <t>Create lambda that will sync SSM parameters f</t>
        </is>
      </c>
      <c r="G13" s="20" t="n">
        <v>42.9333</v>
      </c>
    </row>
    <row r="14">
      <c r="A14" s="10" t="inlineStr">
        <is>
          <t>Platform Team 6</t>
        </is>
      </c>
      <c r="B14" s="10" t="inlineStr">
        <is>
          <t>Rafay Khan</t>
        </is>
      </c>
      <c r="C14" s="10" t="inlineStr">
        <is>
          <t>PT6-1670</t>
        </is>
      </c>
      <c r="D14" s="10" t="inlineStr">
        <is>
          <t xml:space="preserve">PT6-1670 Multi region </t>
        </is>
      </c>
      <c r="E14" s="10" t="inlineStr">
        <is>
          <t>PT6-1721</t>
        </is>
      </c>
      <c r="F14" s="10" t="inlineStr">
        <is>
          <t>Investigate replication of s3 bucket on regio</t>
        </is>
      </c>
      <c r="G14" s="20" t="n">
        <v>20</v>
      </c>
    </row>
    <row r="15">
      <c r="A15" s="10" t="inlineStr">
        <is>
          <t>Platform Team 6</t>
        </is>
      </c>
      <c r="B15" s="10" t="inlineStr">
        <is>
          <t>Rafay Khan</t>
        </is>
      </c>
      <c r="C15" s="10" t="inlineStr">
        <is>
          <t>PT6-1670</t>
        </is>
      </c>
      <c r="D15" s="10" t="inlineStr">
        <is>
          <t xml:space="preserve">PT6-1670 Multi region </t>
        </is>
      </c>
      <c r="E15" s="10" t="inlineStr">
        <is>
          <t>PT6-1722</t>
        </is>
      </c>
      <c r="F15" s="10" t="inlineStr">
        <is>
          <t>Investigate usage of multi-region keys</t>
        </is>
      </c>
      <c r="G15" s="20" t="n">
        <v>18.9333</v>
      </c>
    </row>
    <row r="16">
      <c r="A16" s="10" t="inlineStr">
        <is>
          <t>Platform Team 6</t>
        </is>
      </c>
      <c r="B16" s="10" t="inlineStr">
        <is>
          <t>Rafay Khan</t>
        </is>
      </c>
      <c r="C16" s="10" t="inlineStr">
        <is>
          <t>PT6-1670</t>
        </is>
      </c>
      <c r="D16" s="10" t="inlineStr">
        <is>
          <t xml:space="preserve">PT6-1670 Multi region </t>
        </is>
      </c>
      <c r="E16" s="10" t="inlineStr">
        <is>
          <t>PT6-1746</t>
        </is>
      </c>
      <c r="F16" s="10" t="inlineStr">
        <is>
          <t>Investigate SM multi region replication</t>
        </is>
      </c>
      <c r="G16" s="20" t="n">
        <v>10.6667</v>
      </c>
    </row>
    <row r="17">
      <c r="A17" s="10" t="inlineStr">
        <is>
          <t>Platform Team 6</t>
        </is>
      </c>
      <c r="B17" s="10" t="inlineStr">
        <is>
          <t>Mete Han Karacüllü</t>
        </is>
      </c>
      <c r="C17" s="10" t="inlineStr">
        <is>
          <t>PT6-1670</t>
        </is>
      </c>
      <c r="D17" s="10" t="inlineStr">
        <is>
          <t xml:space="preserve">PT6-1670 Multi region </t>
        </is>
      </c>
      <c r="E17" s="10" t="inlineStr">
        <is>
          <t>PT6-1746</t>
        </is>
      </c>
      <c r="F17" s="10" t="inlineStr">
        <is>
          <t>Investigate SM multi region replication</t>
        </is>
      </c>
      <c r="G17" s="20" t="n">
        <v>6.6667</v>
      </c>
    </row>
    <row r="18">
      <c r="A18" s="10" t="inlineStr">
        <is>
          <t>Platform Team 6</t>
        </is>
      </c>
      <c r="B18" s="10" t="inlineStr">
        <is>
          <t>Mete Han Karacüllü</t>
        </is>
      </c>
      <c r="C18" s="10" t="inlineStr">
        <is>
          <t>PT6-1713</t>
        </is>
      </c>
      <c r="D18" s="10" t="inlineStr">
        <is>
          <t>PT6-1713 Autoscaling</t>
        </is>
      </c>
      <c r="E18" s="10" t="inlineStr">
        <is>
          <t>PT6-1671</t>
        </is>
      </c>
      <c r="F18" s="10" t="inlineStr">
        <is>
          <t>Deploy metrics-server to EKS clusters</t>
        </is>
      </c>
      <c r="G18" s="20" t="n">
        <v>44</v>
      </c>
    </row>
    <row r="19">
      <c r="A19" s="10" t="inlineStr">
        <is>
          <t>Team Horizon</t>
        </is>
      </c>
      <c r="B19" s="10" t="inlineStr">
        <is>
          <t>Ryan Shepherd</t>
        </is>
      </c>
      <c r="C19" s="10" t="inlineStr">
        <is>
          <t>SUK-5337</t>
        </is>
      </c>
      <c r="D19" s="10" t="inlineStr">
        <is>
          <t xml:space="preserve">SUK-5337 VOP EDS Integration Implementation </t>
        </is>
      </c>
      <c r="E19" s="10" t="inlineStr">
        <is>
          <t>SUK-5538</t>
        </is>
      </c>
      <c r="F19" s="10" t="inlineStr">
        <is>
          <t>[EDS-Directory] Analyse &amp; fix missing uris ca</t>
        </is>
      </c>
      <c r="G19" s="20" t="n">
        <v>6</v>
      </c>
    </row>
    <row r="20">
      <c r="A20" s="10" t="inlineStr">
        <is>
          <t>Team Horizon</t>
        </is>
      </c>
      <c r="B20" s="10" t="inlineStr">
        <is>
          <t>Ryan Shepherd</t>
        </is>
      </c>
      <c r="C20" s="10" t="inlineStr">
        <is>
          <t>SUK-5466</t>
        </is>
      </c>
      <c r="D20" s="10" t="inlineStr">
        <is>
          <t>SUK-5466 VOP Outbound Adaptor</t>
        </is>
      </c>
      <c r="E20" s="10" t="inlineStr">
        <is>
          <t>SUK-5544</t>
        </is>
      </c>
      <c r="F20" s="10" t="inlineStr">
        <is>
          <t>[VOP-Adaptor]Implement logging requirements f</t>
        </is>
      </c>
      <c r="G20" s="20" t="n">
        <v>32</v>
      </c>
    </row>
    <row r="21">
      <c r="A21" s="10" t="inlineStr">
        <is>
          <t>Team Horizon</t>
        </is>
      </c>
      <c r="B21" s="10" t="inlineStr">
        <is>
          <t>Ryan Shepherd</t>
        </is>
      </c>
      <c r="C21" s="10" t="inlineStr">
        <is>
          <t>SUK-5466</t>
        </is>
      </c>
      <c r="D21" s="10" t="inlineStr">
        <is>
          <t>SUK-5466 VOP Outbound Adaptor</t>
        </is>
      </c>
      <c r="E21" s="10" t="inlineStr">
        <is>
          <t>SUK-5606</t>
        </is>
      </c>
      <c r="F21" s="10" t="inlineStr">
        <is>
          <t>[VOP-Adaptor] Implement timeout on outgoing V</t>
        </is>
      </c>
      <c r="G21" s="20" t="n">
        <v>32</v>
      </c>
    </row>
    <row r="22">
      <c r="A22" s="10" t="inlineStr">
        <is>
          <t>Team Horizon</t>
        </is>
      </c>
      <c r="B22" s="10" t="inlineStr">
        <is>
          <t>Ryan Shepherd</t>
        </is>
      </c>
      <c r="C22" s="10" t="inlineStr">
        <is>
          <t>SUK-5466</t>
        </is>
      </c>
      <c r="D22" s="10" t="inlineStr">
        <is>
          <t>SUK-5466 VOP Outbound Adaptor</t>
        </is>
      </c>
      <c r="E22" s="10" t="inlineStr">
        <is>
          <t>SUK-5461</t>
        </is>
      </c>
      <c r="F22" s="10" t="inlineStr">
        <is>
          <t>[VOP Adaptor] Request &amp; Response processing f</t>
        </is>
      </c>
      <c r="G22" s="20" t="n">
        <v>24.9333</v>
      </c>
    </row>
    <row r="23">
      <c r="A23" s="10" t="inlineStr">
        <is>
          <t>Team Horizon</t>
        </is>
      </c>
      <c r="B23" s="10" t="inlineStr">
        <is>
          <t>Ryan Shepherd</t>
        </is>
      </c>
      <c r="C23" s="10" t="inlineStr">
        <is>
          <t>SUK-5466</t>
        </is>
      </c>
      <c r="D23" s="10" t="inlineStr">
        <is>
          <t>SUK-5466 VOP Outbound Adaptor</t>
        </is>
      </c>
      <c r="E23" s="10" t="inlineStr">
        <is>
          <t>SUK-5504</t>
        </is>
      </c>
      <c r="F23" s="10" t="inlineStr">
        <is>
          <t>[VOP Adaptor]Implement SSL connection logic f</t>
        </is>
      </c>
      <c r="G23" s="20" t="n">
        <v>22.6667</v>
      </c>
    </row>
    <row r="24">
      <c r="A24" s="10" t="inlineStr">
        <is>
          <t>Team Horizon</t>
        </is>
      </c>
      <c r="B24" s="10" t="inlineStr">
        <is>
          <t>Ryan Shepherd</t>
        </is>
      </c>
      <c r="C24" s="10" t="inlineStr">
        <is>
          <t>SUK-5466</t>
        </is>
      </c>
      <c r="D24" s="10" t="inlineStr">
        <is>
          <t>SUK-5466 VOP Outbound Adaptor</t>
        </is>
      </c>
      <c r="E24" s="10" t="inlineStr">
        <is>
          <t>SUK-5540</t>
        </is>
      </c>
      <c r="F24" s="10" t="inlineStr">
        <is>
          <t>Fix type of error returned in VOP adapter: 50</t>
        </is>
      </c>
      <c r="G24" s="20" t="n">
        <v>20.6667</v>
      </c>
    </row>
    <row r="25">
      <c r="A25" s="10" t="inlineStr">
        <is>
          <t>Team Horizon</t>
        </is>
      </c>
      <c r="B25" s="10" t="inlineStr">
        <is>
          <t>Ryan Shepherd</t>
        </is>
      </c>
      <c r="C25" s="10" t="inlineStr">
        <is>
          <t>SUK-5466</t>
        </is>
      </c>
      <c r="D25" s="10" t="inlineStr">
        <is>
          <t>SUK-5466 VOP Outbound Adaptor</t>
        </is>
      </c>
      <c r="E25" s="10" t="inlineStr">
        <is>
          <t>SUK-5478</t>
        </is>
      </c>
      <c r="F25" s="10" t="inlineStr">
        <is>
          <t xml:space="preserve"> [VOP-Adaptor] Third Party URI Request &amp; Resp</t>
        </is>
      </c>
      <c r="G25" s="20" t="n">
        <v>8.933299999999999</v>
      </c>
    </row>
    <row r="26">
      <c r="A26" s="10" t="inlineStr">
        <is>
          <t>Team Horizon</t>
        </is>
      </c>
      <c r="B26" s="10" t="inlineStr">
        <is>
          <t>Ryan Shepherd</t>
        </is>
      </c>
      <c r="C26" s="10" t="inlineStr">
        <is>
          <t>SUK-5466</t>
        </is>
      </c>
      <c r="D26" s="10" t="inlineStr">
        <is>
          <t>SUK-5466 VOP Outbound Adaptor</t>
        </is>
      </c>
      <c r="E26" s="10" t="inlineStr">
        <is>
          <t>SUK-5479</t>
        </is>
      </c>
      <c r="F26" s="10" t="inlineStr">
        <is>
          <t>[VOP-Adaptor]Business logic Implementation</t>
        </is>
      </c>
      <c r="G26" s="20" t="n">
        <v>8.933299999999999</v>
      </c>
    </row>
    <row r="27">
      <c r="A27" s="10" t="inlineStr">
        <is>
          <t>Team Horizon</t>
        </is>
      </c>
      <c r="B27" s="10" t="inlineStr">
        <is>
          <t>Ryan Shepherd</t>
        </is>
      </c>
      <c r="C27" s="10" t="inlineStr">
        <is>
          <t>SUK-5466</t>
        </is>
      </c>
      <c r="D27" s="10" t="inlineStr">
        <is>
          <t>SUK-5466 VOP Outbound Adaptor</t>
        </is>
      </c>
      <c r="E27" s="10" t="inlineStr">
        <is>
          <t>SUK-5498</t>
        </is>
      </c>
      <c r="F27" s="10" t="inlineStr">
        <is>
          <t>[VOP Adaptor] Implement Integration logic for</t>
        </is>
      </c>
      <c r="G27" s="20" t="n">
        <v>6</v>
      </c>
    </row>
    <row r="28">
      <c r="A28" s="10" t="inlineStr">
        <is>
          <t>Team Horizon</t>
        </is>
      </c>
      <c r="B28" s="10" t="inlineStr">
        <is>
          <t>Ryan Shepherd</t>
        </is>
      </c>
      <c r="C28" s="10" t="inlineStr">
        <is>
          <t>SUK-5466</t>
        </is>
      </c>
      <c r="D28" s="10" t="inlineStr">
        <is>
          <t>SUK-5466 VOP Outbound Adaptor</t>
        </is>
      </c>
      <c r="E28" s="10" t="inlineStr">
        <is>
          <t>SUK-5506</t>
        </is>
      </c>
      <c r="F28" s="10" t="inlineStr">
        <is>
          <t xml:space="preserve">[VOP Adaptor]Use new customer settings table </t>
        </is>
      </c>
      <c r="G28" s="20" t="n">
        <v>3.6</v>
      </c>
    </row>
    <row r="29">
      <c r="A29" s="10" t="inlineStr">
        <is>
          <t>Team Horizon</t>
        </is>
      </c>
      <c r="B29" s="10" t="inlineStr">
        <is>
          <t>Arpit Dahiya</t>
        </is>
      </c>
      <c r="C29" s="10" t="inlineStr">
        <is>
          <t>SUK-5466</t>
        </is>
      </c>
      <c r="D29" s="10" t="inlineStr">
        <is>
          <t>SUK-5466 VOP Outbound Adaptor</t>
        </is>
      </c>
      <c r="E29" s="10" t="inlineStr">
        <is>
          <t>SUK-5483</t>
        </is>
      </c>
      <c r="F29" s="10" t="inlineStr">
        <is>
          <t>[VOP-Adaptor]Implement cloud watch logging re</t>
        </is>
      </c>
      <c r="G29" s="20" t="n">
        <v>44</v>
      </c>
    </row>
    <row r="30">
      <c r="A30" s="10" t="inlineStr">
        <is>
          <t>Team Horizon</t>
        </is>
      </c>
      <c r="B30" s="10" t="inlineStr">
        <is>
          <t>Arpit Dahiya</t>
        </is>
      </c>
      <c r="C30" s="10" t="inlineStr">
        <is>
          <t>SUK-5466</t>
        </is>
      </c>
      <c r="D30" s="10" t="inlineStr">
        <is>
          <t>SUK-5466 VOP Outbound Adaptor</t>
        </is>
      </c>
      <c r="E30" s="10" t="inlineStr">
        <is>
          <t>SUK-5544</t>
        </is>
      </c>
      <c r="F30" s="10" t="inlineStr">
        <is>
          <t>[VOP-Adaptor]Implement logging requirements f</t>
        </is>
      </c>
      <c r="G30" s="20" t="n">
        <v>44</v>
      </c>
    </row>
    <row r="31">
      <c r="A31" s="10" t="inlineStr">
        <is>
          <t>Team Horizon</t>
        </is>
      </c>
      <c r="B31" s="10" t="inlineStr">
        <is>
          <t>Arpit Dahiya</t>
        </is>
      </c>
      <c r="C31" s="10" t="inlineStr">
        <is>
          <t>SUK-5466</t>
        </is>
      </c>
      <c r="D31" s="10" t="inlineStr">
        <is>
          <t>SUK-5466 VOP Outbound Adaptor</t>
        </is>
      </c>
      <c r="E31" s="10" t="inlineStr">
        <is>
          <t>SUK-5540</t>
        </is>
      </c>
      <c r="F31" s="10" t="inlineStr">
        <is>
          <t>Fix type of error returned in VOP adapter: 50</t>
        </is>
      </c>
      <c r="G31" s="20" t="n">
        <v>12</v>
      </c>
    </row>
    <row r="32">
      <c r="A32" s="10" t="inlineStr">
        <is>
          <t>Team Horizon</t>
        </is>
      </c>
      <c r="B32" s="10" t="inlineStr">
        <is>
          <t>Arpit Dahiya</t>
        </is>
      </c>
      <c r="C32" s="10" t="inlineStr">
        <is>
          <t>SUK-5466</t>
        </is>
      </c>
      <c r="D32" s="10" t="inlineStr">
        <is>
          <t>SUK-5466 VOP Outbound Adaptor</t>
        </is>
      </c>
      <c r="E32" s="10" t="inlineStr">
        <is>
          <t>SUK-5554</t>
        </is>
      </c>
      <c r="F32" s="10" t="inlineStr">
        <is>
          <t>[VOP-Adaptor]Implement logging requirements f</t>
        </is>
      </c>
      <c r="G32" s="20" t="n">
        <v>12</v>
      </c>
    </row>
    <row r="33">
      <c r="A33" s="10" t="inlineStr">
        <is>
          <t>Team Horizon</t>
        </is>
      </c>
      <c r="B33" s="10" t="inlineStr">
        <is>
          <t>Adorjan Fritz</t>
        </is>
      </c>
      <c r="C33" s="10" t="inlineStr">
        <is>
          <t>SUK-5466</t>
        </is>
      </c>
      <c r="D33" s="10" t="inlineStr">
        <is>
          <t>SUK-5466 VOP Outbound Adaptor</t>
        </is>
      </c>
      <c r="E33" s="10" t="inlineStr">
        <is>
          <t>SUK-5480</t>
        </is>
      </c>
      <c r="F33" s="10" t="inlineStr">
        <is>
          <t>[VOP-Adaptor]Implement Integration tests</t>
        </is>
      </c>
      <c r="G33" s="20" t="n">
        <v>72</v>
      </c>
    </row>
    <row r="34">
      <c r="A34" s="10" t="inlineStr">
        <is>
          <t>Team Horizon</t>
        </is>
      </c>
      <c r="B34" s="10" t="inlineStr">
        <is>
          <t>Adorjan Fritz</t>
        </is>
      </c>
      <c r="C34" s="10" t="inlineStr">
        <is>
          <t>SUK-5466</t>
        </is>
      </c>
      <c r="D34" s="10" t="inlineStr">
        <is>
          <t>SUK-5466 VOP Outbound Adaptor</t>
        </is>
      </c>
      <c r="E34" s="10" t="inlineStr">
        <is>
          <t>SUK-5542</t>
        </is>
      </c>
      <c r="F34" s="10" t="inlineStr">
        <is>
          <t>[POC] Dynamic mTLS Connection logic with in V</t>
        </is>
      </c>
      <c r="G34" s="20" t="n">
        <v>8</v>
      </c>
    </row>
    <row r="35">
      <c r="A35" s="10" t="inlineStr">
        <is>
          <t>Team Horizon</t>
        </is>
      </c>
      <c r="B35" s="10" t="inlineStr">
        <is>
          <t>Adorjan Fritz</t>
        </is>
      </c>
      <c r="C35" s="10" t="inlineStr">
        <is>
          <t>SUK-5466</t>
        </is>
      </c>
      <c r="D35" s="10" t="inlineStr">
        <is>
          <t>SUK-5466 VOP Outbound Adaptor</t>
        </is>
      </c>
      <c r="E35" s="10" t="inlineStr">
        <is>
          <t>SUK-5585</t>
        </is>
      </c>
      <c r="F35" s="10" t="inlineStr">
        <is>
          <t>Enable Static Code Analysis - SonarQube + Nex</t>
        </is>
      </c>
      <c r="G35" s="20" t="n">
        <v>8</v>
      </c>
    </row>
    <row r="36">
      <c r="A36" s="10" t="inlineStr">
        <is>
          <t>Team Horizon</t>
        </is>
      </c>
      <c r="B36" s="10" t="inlineStr">
        <is>
          <t>Adorjan Fritz</t>
        </is>
      </c>
      <c r="C36" s="10" t="inlineStr">
        <is>
          <t>SUK-5578</t>
        </is>
      </c>
      <c r="D36" s="10" t="inlineStr">
        <is>
          <t xml:space="preserve">SUK-5578 VOP Inbound Adaptor </t>
        </is>
      </c>
      <c r="E36" s="10" t="inlineStr">
        <is>
          <t>SUK-5574</t>
        </is>
      </c>
      <c r="F36" s="10" t="inlineStr">
        <is>
          <t>Bootstrap VoP inbound adaptor</t>
        </is>
      </c>
      <c r="G36" s="20" t="n">
        <v>16</v>
      </c>
    </row>
    <row r="37">
      <c r="A37" s="10" t="inlineStr">
        <is>
          <t>Team Horizon</t>
        </is>
      </c>
      <c r="B37" s="10" t="inlineStr">
        <is>
          <t>Péter Veres</t>
        </is>
      </c>
      <c r="C37" s="10" t="inlineStr">
        <is>
          <t>SUK-5466</t>
        </is>
      </c>
      <c r="D37" s="10" t="inlineStr">
        <is>
          <t>SUK-5466 VOP Outbound Adaptor</t>
        </is>
      </c>
      <c r="E37" s="10" t="inlineStr">
        <is>
          <t>SUK-5545</t>
        </is>
      </c>
      <c r="F37" s="10" t="inlineStr">
        <is>
          <t>[VOP Adaptor] Add health checks to the servic</t>
        </is>
      </c>
      <c r="G37" s="20" t="n">
        <v>24</v>
      </c>
    </row>
    <row r="38">
      <c r="A38" s="10" t="inlineStr">
        <is>
          <t>Team Horizon</t>
        </is>
      </c>
      <c r="B38" s="10" t="inlineStr">
        <is>
          <t>Péter Veres</t>
        </is>
      </c>
      <c r="C38" s="10" t="inlineStr">
        <is>
          <t>SUK-5466</t>
        </is>
      </c>
      <c r="D38" s="10" t="inlineStr">
        <is>
          <t>SUK-5466 VOP Outbound Adaptor</t>
        </is>
      </c>
      <c r="E38" s="10" t="inlineStr">
        <is>
          <t>SUK-5628</t>
        </is>
      </c>
      <c r="F38" s="10" t="inlineStr">
        <is>
          <t>[vop-outbound-adapter] POC Using RestClient i</t>
        </is>
      </c>
      <c r="G38" s="20" t="n">
        <v>16</v>
      </c>
    </row>
    <row r="39">
      <c r="A39" s="10" t="inlineStr">
        <is>
          <t>Team Horizon</t>
        </is>
      </c>
      <c r="B39" s="10" t="inlineStr">
        <is>
          <t>Péter Veres</t>
        </is>
      </c>
      <c r="C39" s="10" t="inlineStr">
        <is>
          <t>SUK-5466</t>
        </is>
      </c>
      <c r="D39" s="10" t="inlineStr">
        <is>
          <t>SUK-5466 VOP Outbound Adaptor</t>
        </is>
      </c>
      <c r="E39" s="10" t="inlineStr">
        <is>
          <t>SUK-5583</t>
        </is>
      </c>
      <c r="F39" s="10" t="inlineStr">
        <is>
          <t>VOP-Adaptor: Create Security review template</t>
        </is>
      </c>
      <c r="G39" s="20" t="n">
        <v>8</v>
      </c>
    </row>
    <row r="40">
      <c r="A40" s="10" t="inlineStr">
        <is>
          <t>Team Horizon</t>
        </is>
      </c>
      <c r="B40" s="10" t="inlineStr">
        <is>
          <t>Prabhukiran Narava</t>
        </is>
      </c>
      <c r="C40" s="10" t="inlineStr">
        <is>
          <t>SUK-5466</t>
        </is>
      </c>
      <c r="D40" s="10" t="inlineStr">
        <is>
          <t>SUK-5466 VOP Outbound Adaptor</t>
        </is>
      </c>
      <c r="E40" s="10" t="inlineStr">
        <is>
          <t>SUK-5570</t>
        </is>
      </c>
      <c r="F40" s="10" t="inlineStr">
        <is>
          <t>[VOP-Adaptor] E2E Test with ART and real resp</t>
        </is>
      </c>
      <c r="G40" s="20" t="n">
        <v>25.3333</v>
      </c>
    </row>
    <row r="41">
      <c r="A41" s="10" t="inlineStr">
        <is>
          <t>Team Horizon</t>
        </is>
      </c>
      <c r="B41" s="10" t="inlineStr">
        <is>
          <t>Prabhukiran Narava</t>
        </is>
      </c>
      <c r="C41" s="10" t="inlineStr">
        <is>
          <t>SUK-5466</t>
        </is>
      </c>
      <c r="D41" s="10" t="inlineStr">
        <is>
          <t>SUK-5466 VOP Outbound Adaptor</t>
        </is>
      </c>
      <c r="E41" s="10" t="inlineStr">
        <is>
          <t>SUK-5467</t>
        </is>
      </c>
      <c r="F41" s="10" t="inlineStr">
        <is>
          <t>Create a BIC enrichment service(Mock)</t>
        </is>
      </c>
      <c r="G41" s="20" t="n">
        <v>5.3333</v>
      </c>
    </row>
    <row r="42">
      <c r="A42" s="10" t="inlineStr">
        <is>
          <t>Team Horizon</t>
        </is>
      </c>
      <c r="B42" s="10" t="inlineStr">
        <is>
          <t>Sanjay Chaudhary</t>
        </is>
      </c>
      <c r="C42" s="10" t="inlineStr">
        <is>
          <t>SUK-5337</t>
        </is>
      </c>
      <c r="D42" s="10" t="inlineStr">
        <is>
          <t xml:space="preserve">SUK-5337 VOP EDS Integration Implementation </t>
        </is>
      </c>
      <c r="E42" s="10" t="inlineStr">
        <is>
          <t>SUK-5397</t>
        </is>
      </c>
      <c r="F42" s="10" t="inlineStr">
        <is>
          <t>Global tables creation under eds-directory la</t>
        </is>
      </c>
      <c r="G42" s="20" t="n">
        <v>4.1778</v>
      </c>
    </row>
    <row r="43">
      <c r="A43" s="10" t="inlineStr">
        <is>
          <t>Team Horizon</t>
        </is>
      </c>
      <c r="B43" s="10" t="inlineStr">
        <is>
          <t>Sanjay Chaudhary</t>
        </is>
      </c>
      <c r="C43" s="10" t="inlineStr">
        <is>
          <t>SUK-5466</t>
        </is>
      </c>
      <c r="D43" s="10" t="inlineStr">
        <is>
          <t>SUK-5466 VOP Outbound Adaptor</t>
        </is>
      </c>
      <c r="E43" s="10" t="inlineStr">
        <is>
          <t>SUK-5484</t>
        </is>
      </c>
      <c r="F43" s="10" t="inlineStr">
        <is>
          <t>[VOP-Adaptor]Create pipelines for VOP adaptor</t>
        </is>
      </c>
      <c r="G43" s="20" t="n">
        <v>10.3717</v>
      </c>
    </row>
    <row r="44">
      <c r="A44" s="10" t="inlineStr">
        <is>
          <t>Team Horizon</t>
        </is>
      </c>
      <c r="B44" s="10" t="inlineStr">
        <is>
          <t>Sanjay Chaudhary</t>
        </is>
      </c>
      <c r="C44" s="10" t="inlineStr">
        <is>
          <t>SUK-5466</t>
        </is>
      </c>
      <c r="D44" s="10" t="inlineStr">
        <is>
          <t>SUK-5466 VOP Outbound Adaptor</t>
        </is>
      </c>
      <c r="E44" s="10" t="inlineStr">
        <is>
          <t>SUK-5557</t>
        </is>
      </c>
      <c r="F44" s="10" t="inlineStr">
        <is>
          <t>[VOP-Adaptor]Modify VoP adapter pipelines</t>
        </is>
      </c>
      <c r="G44" s="20" t="n">
        <v>4.8</v>
      </c>
    </row>
    <row r="45">
      <c r="A45" s="10" t="inlineStr">
        <is>
          <t>Team Horizon</t>
        </is>
      </c>
      <c r="B45" s="10" t="inlineStr">
        <is>
          <t>Sanjay Chaudhary</t>
        </is>
      </c>
      <c r="C45" s="10" t="inlineStr">
        <is>
          <t>SUK-5466</t>
        </is>
      </c>
      <c r="D45" s="10" t="inlineStr">
        <is>
          <t>SUK-5466 VOP Outbound Adaptor</t>
        </is>
      </c>
      <c r="E45" s="10" t="inlineStr">
        <is>
          <t>SUK-5576</t>
        </is>
      </c>
      <c r="F45" s="10" t="inlineStr">
        <is>
          <t>[VOP-Adaptor] Update EDS related dynmodb tabl</t>
        </is>
      </c>
      <c r="G45" s="20" t="n">
        <v>3.2162</v>
      </c>
    </row>
    <row r="46">
      <c r="A46" s="10" t="inlineStr">
        <is>
          <t>Team Horizon</t>
        </is>
      </c>
      <c r="B46" s="10" t="inlineStr">
        <is>
          <t>Sanjay Chaudhary</t>
        </is>
      </c>
      <c r="C46" s="10" t="inlineStr">
        <is>
          <t>SUK-5466</t>
        </is>
      </c>
      <c r="D46" s="10" t="inlineStr">
        <is>
          <t>SUK-5466 VOP Outbound Adaptor</t>
        </is>
      </c>
      <c r="E46" s="10" t="inlineStr">
        <is>
          <t>SUK-5462</t>
        </is>
      </c>
      <c r="F46" s="10" t="inlineStr">
        <is>
          <t>[Infra VOP Outbound Adaptor] Set up infra usi</t>
        </is>
      </c>
      <c r="G46" s="20" t="n">
        <v>2.6</v>
      </c>
    </row>
    <row r="47">
      <c r="A47" s="10" t="inlineStr">
        <is>
          <t>Team Horizon</t>
        </is>
      </c>
      <c r="B47" s="10" t="inlineStr">
        <is>
          <t>Sanjay Chaudhary</t>
        </is>
      </c>
      <c r="C47" s="10" t="inlineStr">
        <is>
          <t>SUK-5466</t>
        </is>
      </c>
      <c r="D47" s="10" t="inlineStr">
        <is>
          <t>SUK-5466 VOP Outbound Adaptor</t>
        </is>
      </c>
      <c r="E47" s="10" t="inlineStr">
        <is>
          <t>SUK-5505</t>
        </is>
      </c>
      <c r="F47" s="10" t="inlineStr">
        <is>
          <t>[VOP Adaptor]Create new customer settings tab</t>
        </is>
      </c>
      <c r="G47" s="20" t="n">
        <v>2.4162</v>
      </c>
    </row>
    <row r="48">
      <c r="A48" s="10" t="inlineStr">
        <is>
          <t>Team Horizon</t>
        </is>
      </c>
      <c r="B48" s="10" t="inlineStr">
        <is>
          <t>Sanjay Chaudhary</t>
        </is>
      </c>
      <c r="C48" s="10" t="inlineStr">
        <is>
          <t>SUK-5466</t>
        </is>
      </c>
      <c r="D48" s="10" t="inlineStr">
        <is>
          <t>SUK-5466 VOP Outbound Adaptor</t>
        </is>
      </c>
      <c r="E48" s="10" t="inlineStr">
        <is>
          <t>SUK-5567</t>
        </is>
      </c>
      <c r="F48" s="10" t="inlineStr">
        <is>
          <t>[Vop-Adaptor] Enable Outbound admin proxy for</t>
        </is>
      </c>
      <c r="G48" s="20" t="n">
        <v>2</v>
      </c>
    </row>
    <row r="49">
      <c r="A49" s="10" t="inlineStr">
        <is>
          <t>Team Horizon</t>
        </is>
      </c>
      <c r="B49" s="10" t="inlineStr">
        <is>
          <t>Julian Mulder</t>
        </is>
      </c>
      <c r="C49" s="10" t="inlineStr">
        <is>
          <t>SUK-5466</t>
        </is>
      </c>
      <c r="D49" s="10" t="inlineStr">
        <is>
          <t>SUK-5466 VOP Outbound Adaptor</t>
        </is>
      </c>
      <c r="E49" s="10" t="inlineStr">
        <is>
          <t>SUK-5482</t>
        </is>
      </c>
      <c r="F49" s="10" t="inlineStr">
        <is>
          <t>[VOP-Adaptor]Infra set up for connecting to v</t>
        </is>
      </c>
      <c r="G49" s="20" t="n">
        <v>8.666700000000001</v>
      </c>
    </row>
    <row r="50">
      <c r="A50" s="10" t="inlineStr">
        <is>
          <t>Team Horizon</t>
        </is>
      </c>
      <c r="B50" s="10" t="inlineStr">
        <is>
          <t>Julian Mulder</t>
        </is>
      </c>
      <c r="C50" s="10" t="inlineStr">
        <is>
          <t>SUK-5466</t>
        </is>
      </c>
      <c r="D50" s="10" t="inlineStr">
        <is>
          <t>SUK-5466 VOP Outbound Adaptor</t>
        </is>
      </c>
      <c r="E50" s="10" t="inlineStr">
        <is>
          <t>SUK-5498</t>
        </is>
      </c>
      <c r="F50" s="10" t="inlineStr">
        <is>
          <t>[VOP Adaptor] Implement Integration logic for</t>
        </is>
      </c>
      <c r="G50" s="20" t="n">
        <v>8</v>
      </c>
    </row>
    <row r="51">
      <c r="A51" s="10" t="inlineStr">
        <is>
          <t>Team Horizon</t>
        </is>
      </c>
      <c r="B51" s="10" t="inlineStr">
        <is>
          <t>Julian Mulder</t>
        </is>
      </c>
      <c r="C51" s="10" t="inlineStr">
        <is>
          <t>SUK-5466</t>
        </is>
      </c>
      <c r="D51" s="10" t="inlineStr">
        <is>
          <t>SUK-5466 VOP Outbound Adaptor</t>
        </is>
      </c>
      <c r="E51" s="10" t="inlineStr">
        <is>
          <t>SUK-5501</t>
        </is>
      </c>
      <c r="F51" s="10" t="inlineStr">
        <is>
          <t>[Devops]Infra connection between data provisi</t>
        </is>
      </c>
      <c r="G51" s="20" t="n">
        <v>4</v>
      </c>
    </row>
    <row r="52">
      <c r="A52" s="10" t="inlineStr">
        <is>
          <t>Team Horizon</t>
        </is>
      </c>
      <c r="B52" s="10" t="inlineStr">
        <is>
          <t>Nikolay Antonov</t>
        </is>
      </c>
      <c r="C52" s="10" t="inlineStr">
        <is>
          <t>SUK-5578</t>
        </is>
      </c>
      <c r="D52" s="10" t="inlineStr">
        <is>
          <t xml:space="preserve">SUK-5578 VOP Inbound Adaptor </t>
        </is>
      </c>
      <c r="E52" s="10" t="inlineStr">
        <is>
          <t>SUK-5575</t>
        </is>
      </c>
      <c r="F52" s="10" t="inlineStr">
        <is>
          <t>[Inbound adaptor] Set up infra using docker/E</t>
        </is>
      </c>
      <c r="G52" s="20" t="n">
        <v>8.901899999999999</v>
      </c>
    </row>
    <row r="53">
      <c r="A53" s="10" t="inlineStr">
        <is>
          <t>Team Ikigai</t>
        </is>
      </c>
      <c r="B53" s="10" t="inlineStr">
        <is>
          <t>Sridhar Gnanasekaran</t>
        </is>
      </c>
      <c r="C53" s="10" t="inlineStr">
        <is>
          <t>SPD-2724</t>
        </is>
      </c>
      <c r="D53" s="10" t="inlineStr">
        <is>
          <t>SPD-2724 VoP Bulk Checker Iteration 1</t>
        </is>
      </c>
      <c r="E53" s="10" t="inlineStr">
        <is>
          <t>SPD-3124</t>
        </is>
      </c>
      <c r="F53" s="10" t="inlineStr">
        <is>
          <t>Contrasting ApigeeX with Traefik</t>
        </is>
      </c>
      <c r="G53" s="20" t="n">
        <v>84</v>
      </c>
    </row>
    <row r="54">
      <c r="A54" s="10" t="inlineStr">
        <is>
          <t>Team Ikigai</t>
        </is>
      </c>
      <c r="B54" s="10" t="inlineStr">
        <is>
          <t>Sridhar Gnanasekaran</t>
        </is>
      </c>
      <c r="C54" s="10" t="inlineStr">
        <is>
          <t>SPD-2724</t>
        </is>
      </c>
      <c r="D54" s="10" t="inlineStr">
        <is>
          <t>SPD-2724 VoP Bulk Checker Iteration 1</t>
        </is>
      </c>
      <c r="E54" s="10" t="inlineStr">
        <is>
          <t>SPD-3108</t>
        </is>
      </c>
      <c r="F54" s="10" t="inlineStr">
        <is>
          <t>Traefik Performance Testing</t>
        </is>
      </c>
      <c r="G54" s="20" t="n">
        <v>48</v>
      </c>
    </row>
    <row r="55">
      <c r="A55" s="10" t="inlineStr">
        <is>
          <t>Team Ikigai</t>
        </is>
      </c>
      <c r="B55" s="10" t="inlineStr">
        <is>
          <t>Sridhar Gnanasekaran</t>
        </is>
      </c>
      <c r="C55" s="10" t="inlineStr">
        <is>
          <t>SPD-2834</t>
        </is>
      </c>
      <c r="D55" s="10" t="inlineStr">
        <is>
          <t>SPD-2834 VoP Data Hosting Iteration 2</t>
        </is>
      </c>
      <c r="E55" s="10" t="inlineStr">
        <is>
          <t>SPD-3158</t>
        </is>
      </c>
      <c r="F55" s="10" t="inlineStr">
        <is>
          <t>Performance test UnstructuredRemittanceInform</t>
        </is>
      </c>
      <c r="G55" s="20" t="n">
        <v>60</v>
      </c>
    </row>
    <row r="56">
      <c r="A56" s="10" t="inlineStr">
        <is>
          <t>Team Ikigai</t>
        </is>
      </c>
      <c r="B56" s="10" t="inlineStr">
        <is>
          <t>Juanma Tastzian</t>
        </is>
      </c>
      <c r="C56" s="10" t="inlineStr">
        <is>
          <t>SPD-2749</t>
        </is>
      </c>
      <c r="D56" s="10" t="inlineStr">
        <is>
          <t>SPD-2749 VoP Data Hosting Ingester v1</t>
        </is>
      </c>
      <c r="E56" s="10" t="inlineStr">
        <is>
          <t>SPD-3173</t>
        </is>
      </c>
      <c r="F56" s="10" t="inlineStr">
        <is>
          <t>Audit logging release to PRD</t>
        </is>
      </c>
      <c r="G56" s="20" t="n">
        <v>6.6667</v>
      </c>
    </row>
    <row r="57">
      <c r="A57" s="10" t="inlineStr">
        <is>
          <t>Team Ikigai</t>
        </is>
      </c>
      <c r="B57" s="10" t="inlineStr">
        <is>
          <t>Juanma Tastzian</t>
        </is>
      </c>
      <c r="C57" s="10" t="inlineStr">
        <is>
          <t>SPD-2834</t>
        </is>
      </c>
      <c r="D57" s="10" t="inlineStr">
        <is>
          <t>SPD-2834 VoP Data Hosting Iteration 2</t>
        </is>
      </c>
      <c r="E57" s="10" t="inlineStr">
        <is>
          <t>SPD-3119</t>
        </is>
      </c>
      <c r="F57" s="10" t="inlineStr">
        <is>
          <t>Make legal name language optional for non bel</t>
        </is>
      </c>
      <c r="G57" s="20" t="n">
        <v>60</v>
      </c>
    </row>
    <row r="58">
      <c r="A58" s="10" t="inlineStr">
        <is>
          <t>Team Ikigai</t>
        </is>
      </c>
      <c r="B58" s="10" t="inlineStr">
        <is>
          <t>Juanma Tastzian</t>
        </is>
      </c>
      <c r="C58" s="10" t="inlineStr">
        <is>
          <t>SPD-2834</t>
        </is>
      </c>
      <c r="D58" s="10" t="inlineStr">
        <is>
          <t>SPD-2834 VoP Data Hosting Iteration 2</t>
        </is>
      </c>
      <c r="E58" s="10" t="inlineStr">
        <is>
          <t>SPD-3164</t>
        </is>
      </c>
      <c r="F58" s="10" t="inlineStr">
        <is>
          <t>Add request Timestamp from the S3 object meta</t>
        </is>
      </c>
      <c r="G58" s="20" t="n">
        <v>34.6667</v>
      </c>
    </row>
    <row r="59">
      <c r="A59" s="10" t="inlineStr">
        <is>
          <t>Team Ikigai</t>
        </is>
      </c>
      <c r="B59" s="10" t="inlineStr">
        <is>
          <t>Juanma Tastzian</t>
        </is>
      </c>
      <c r="C59" s="10" t="inlineStr">
        <is>
          <t>SPD-3341</t>
        </is>
      </c>
      <c r="D59" s="10" t="inlineStr">
        <is>
          <t>SPD-3341 VoP Data Hosting</t>
        </is>
      </c>
      <c r="E59" s="10" t="inlineStr">
        <is>
          <t>SPD-3147</t>
        </is>
      </c>
      <c r="F59" s="10" t="inlineStr">
        <is>
          <t>Encryption between on splitter files</t>
        </is>
      </c>
      <c r="G59" s="20" t="n">
        <v>90.66670000000001</v>
      </c>
    </row>
    <row r="60">
      <c r="A60" s="10" t="inlineStr">
        <is>
          <t>Team Ikigai</t>
        </is>
      </c>
      <c r="B60" s="10" t="inlineStr">
        <is>
          <t>Keerthi Shankar</t>
        </is>
      </c>
      <c r="C60" s="10" t="inlineStr">
        <is>
          <t>SPD-2724</t>
        </is>
      </c>
      <c r="D60" s="10" t="inlineStr">
        <is>
          <t>SPD-2724 VoP Bulk Checker Iteration 1</t>
        </is>
      </c>
      <c r="E60" s="10" t="inlineStr">
        <is>
          <t>SPD-3166</t>
        </is>
      </c>
      <c r="F60" s="10" t="inlineStr">
        <is>
          <t>Testing PAIN.001 and CSV for the Bulk</t>
        </is>
      </c>
      <c r="G60" s="20" t="n">
        <v>32</v>
      </c>
    </row>
    <row r="61">
      <c r="A61" s="10" t="inlineStr">
        <is>
          <t>Team Ikigai</t>
        </is>
      </c>
      <c r="B61" s="10" t="inlineStr">
        <is>
          <t>Keerthi Shankar</t>
        </is>
      </c>
      <c r="C61" s="10" t="inlineStr">
        <is>
          <t>SPD-2834</t>
        </is>
      </c>
      <c r="D61" s="10" t="inlineStr">
        <is>
          <t>SPD-2834 VoP Data Hosting Iteration 2</t>
        </is>
      </c>
      <c r="E61" s="10" t="inlineStr">
        <is>
          <t>SPD-3205</t>
        </is>
      </c>
      <c r="F61" s="10" t="inlineStr">
        <is>
          <t>OpenSearch multi region investigation</t>
        </is>
      </c>
      <c r="G61" s="20" t="n">
        <v>12</v>
      </c>
    </row>
    <row r="62">
      <c r="A62" s="10" t="inlineStr">
        <is>
          <t>Team Ikigai</t>
        </is>
      </c>
      <c r="B62" s="10" t="inlineStr">
        <is>
          <t>Keerthi Shankar</t>
        </is>
      </c>
      <c r="C62" s="10" t="inlineStr">
        <is>
          <t>SPD-2834</t>
        </is>
      </c>
      <c r="D62" s="10" t="inlineStr">
        <is>
          <t>SPD-2834 VoP Data Hosting Iteration 2</t>
        </is>
      </c>
      <c r="E62" s="10" t="inlineStr">
        <is>
          <t>SPD-3143</t>
        </is>
      </c>
      <c r="F62" s="10" t="inlineStr">
        <is>
          <t>Create separate slack channels for failed and</t>
        </is>
      </c>
      <c r="G62" s="20" t="n">
        <v>9.333299999999999</v>
      </c>
    </row>
    <row r="63">
      <c r="A63" s="10" t="inlineStr">
        <is>
          <t>Team Ikigai</t>
        </is>
      </c>
      <c r="B63" s="10" t="inlineStr">
        <is>
          <t>Keerthi Shankar</t>
        </is>
      </c>
      <c r="C63" s="10" t="inlineStr">
        <is>
          <t>SPD-2834</t>
        </is>
      </c>
      <c r="D63" s="10" t="inlineStr">
        <is>
          <t>SPD-2834 VoP Data Hosting Iteration 2</t>
        </is>
      </c>
      <c r="E63" s="10" t="inlineStr">
        <is>
          <t>SPD-3043</t>
        </is>
      </c>
      <c r="F63" s="10" t="inlineStr">
        <is>
          <t>Allow to deploy changes to a single country c</t>
        </is>
      </c>
      <c r="G63" s="20" t="n">
        <v>8</v>
      </c>
    </row>
    <row r="64">
      <c r="A64" s="10" t="inlineStr">
        <is>
          <t>Team Ikigai</t>
        </is>
      </c>
      <c r="B64" s="10" t="inlineStr">
        <is>
          <t>Keerthi Shankar</t>
        </is>
      </c>
      <c r="C64" s="10" t="inlineStr">
        <is>
          <t>SPD-2834</t>
        </is>
      </c>
      <c r="D64" s="10" t="inlineStr">
        <is>
          <t>SPD-2834 VoP Data Hosting Iteration 2</t>
        </is>
      </c>
      <c r="E64" s="10" t="inlineStr">
        <is>
          <t>SPD-3138</t>
        </is>
      </c>
      <c r="F64" s="10" t="inlineStr">
        <is>
          <t>Allow to have different configuration for eac</t>
        </is>
      </c>
      <c r="G64" s="20" t="n">
        <v>4</v>
      </c>
    </row>
    <row r="65">
      <c r="A65" s="10" t="inlineStr">
        <is>
          <t>Team Ikigai</t>
        </is>
      </c>
      <c r="B65" s="10" t="inlineStr">
        <is>
          <t>Keerthi Shankar</t>
        </is>
      </c>
      <c r="C65" s="10" t="inlineStr">
        <is>
          <t>SPD-3012</t>
        </is>
      </c>
      <c r="D65" s="10" t="inlineStr">
        <is>
          <t>SPD-3012 VoP Bulk Checker Iteration 2</t>
        </is>
      </c>
      <c r="E65" s="10" t="inlineStr">
        <is>
          <t>SPD-3191</t>
        </is>
      </c>
      <c r="F65" s="10" t="inlineStr">
        <is>
          <t>Monitoring / alerting for bulk queue sizes</t>
        </is>
      </c>
      <c r="G65" s="20" t="n">
        <v>12</v>
      </c>
    </row>
    <row r="66">
      <c r="A66" s="10" t="inlineStr">
        <is>
          <t>Team Ikigai</t>
        </is>
      </c>
      <c r="B66" s="10" t="inlineStr">
        <is>
          <t>Keerthi Shankar</t>
        </is>
      </c>
      <c r="C66" s="10" t="inlineStr">
        <is>
          <t>SPD-3135</t>
        </is>
      </c>
      <c r="D66" s="10" t="inlineStr">
        <is>
          <t>SPD-3135 VoP Bulk Webhook</t>
        </is>
      </c>
      <c r="E66" s="10" t="inlineStr">
        <is>
          <t>SPD-3139</t>
        </is>
      </c>
      <c r="F66" s="10" t="inlineStr">
        <is>
          <t>Setup infra for vop bulk check webhook soluti</t>
        </is>
      </c>
      <c r="G66" s="20" t="n">
        <v>97.33329999999999</v>
      </c>
    </row>
    <row r="67">
      <c r="A67" s="10" t="inlineStr">
        <is>
          <t>Team Ikigai</t>
        </is>
      </c>
      <c r="B67" s="10" t="inlineStr">
        <is>
          <t>borys.rudenko</t>
        </is>
      </c>
      <c r="C67" s="10" t="inlineStr">
        <is>
          <t>SPD-2834</t>
        </is>
      </c>
      <c r="D67" s="10" t="inlineStr">
        <is>
          <t>SPD-2834 VoP Data Hosting Iteration 2</t>
        </is>
      </c>
      <c r="E67" s="10" t="inlineStr">
        <is>
          <t>SPD-3148</t>
        </is>
      </c>
      <c r="F67" s="10" t="inlineStr">
        <is>
          <t>Failure emails from the splitter</t>
        </is>
      </c>
      <c r="G67" s="20" t="n">
        <v>160</v>
      </c>
    </row>
    <row r="68">
      <c r="A68" s="10" t="inlineStr">
        <is>
          <t>Team Ikigai</t>
        </is>
      </c>
      <c r="B68" s="10" t="inlineStr">
        <is>
          <t>Diego Silva</t>
        </is>
      </c>
      <c r="C68" s="10" t="inlineStr">
        <is>
          <t>SPD-2749</t>
        </is>
      </c>
      <c r="D68" s="10" t="inlineStr">
        <is>
          <t>SPD-2749 VoP Data Hosting Ingester v1</t>
        </is>
      </c>
      <c r="E68" s="10" t="inlineStr">
        <is>
          <t>SPD-2828</t>
        </is>
      </c>
      <c r="F68" s="10" t="inlineStr">
        <is>
          <t xml:space="preserve">ECS Cluster Documentation </t>
        </is>
      </c>
      <c r="G68" s="20" t="n">
        <v>66</v>
      </c>
    </row>
    <row r="69">
      <c r="A69" s="10" t="inlineStr">
        <is>
          <t>Team Ikigai</t>
        </is>
      </c>
      <c r="B69" s="10" t="inlineStr">
        <is>
          <t>Diego Silva</t>
        </is>
      </c>
      <c r="C69" s="10" t="inlineStr">
        <is>
          <t>SPD-2834</t>
        </is>
      </c>
      <c r="D69" s="10" t="inlineStr">
        <is>
          <t>SPD-2834 VoP Data Hosting Iteration 2</t>
        </is>
      </c>
      <c r="E69" s="10" t="inlineStr">
        <is>
          <t>SPD-3162</t>
        </is>
      </c>
      <c r="F69" s="10" t="inlineStr">
        <is>
          <t>Opensearch Snapshot bucket replication</t>
        </is>
      </c>
      <c r="G69" s="20" t="n">
        <v>29.3333</v>
      </c>
    </row>
    <row r="70">
      <c r="A70" s="10" t="inlineStr">
        <is>
          <t>Team Ikigai</t>
        </is>
      </c>
      <c r="B70" s="10" t="inlineStr">
        <is>
          <t>Diego Silva</t>
        </is>
      </c>
      <c r="C70" s="10" t="inlineStr">
        <is>
          <t>SPD-2834</t>
        </is>
      </c>
      <c r="D70" s="10" t="inlineStr">
        <is>
          <t>SPD-2834 VoP Data Hosting Iteration 2</t>
        </is>
      </c>
      <c r="E70" s="10" t="inlineStr">
        <is>
          <t>SPD-2954</t>
        </is>
      </c>
      <c r="F70" s="10" t="inlineStr">
        <is>
          <t>Setup manual snapshots for the OpenSearch clu</t>
        </is>
      </c>
      <c r="G70" s="20" t="n">
        <v>20</v>
      </c>
    </row>
    <row r="71">
      <c r="A71" s="10" t="inlineStr">
        <is>
          <t>Team Ikigai</t>
        </is>
      </c>
      <c r="B71" s="10" t="inlineStr">
        <is>
          <t>Diego Silva</t>
        </is>
      </c>
      <c r="C71" s="10" t="inlineStr">
        <is>
          <t>SPD-2834</t>
        </is>
      </c>
      <c r="D71" s="10" t="inlineStr">
        <is>
          <t>SPD-2834 VoP Data Hosting Iteration 2</t>
        </is>
      </c>
      <c r="E71" s="10" t="inlineStr">
        <is>
          <t>SPD-3154</t>
        </is>
      </c>
      <c r="F71" s="10" t="inlineStr">
        <is>
          <t>Opensearch PRD cluster behavior analysis</t>
        </is>
      </c>
      <c r="G71" s="20" t="n">
        <v>17.3333</v>
      </c>
    </row>
    <row r="72">
      <c r="A72" s="10" t="inlineStr">
        <is>
          <t>Team Ikigai</t>
        </is>
      </c>
      <c r="B72" s="10" t="inlineStr">
        <is>
          <t>Diego Silva</t>
        </is>
      </c>
      <c r="C72" s="10" t="inlineStr">
        <is>
          <t>SPD-2834</t>
        </is>
      </c>
      <c r="D72" s="10" t="inlineStr">
        <is>
          <t>SPD-2834 VoP Data Hosting Iteration 2</t>
        </is>
      </c>
      <c r="E72" s="10" t="inlineStr">
        <is>
          <t>SPD-3150</t>
        </is>
      </c>
      <c r="F72" s="10" t="inlineStr">
        <is>
          <t>Free up disk space for opensearch BE PRD clus</t>
        </is>
      </c>
      <c r="G72" s="20" t="n">
        <v>4.6667</v>
      </c>
    </row>
    <row r="73">
      <c r="A73" s="10" t="inlineStr">
        <is>
          <t>Team Ikigai</t>
        </is>
      </c>
      <c r="B73" s="10" t="inlineStr">
        <is>
          <t>Diego Silva</t>
        </is>
      </c>
      <c r="C73" s="10" t="inlineStr">
        <is>
          <t>SPD-2834</t>
        </is>
      </c>
      <c r="D73" s="10" t="inlineStr">
        <is>
          <t>SPD-2834 VoP Data Hosting Iteration 2</t>
        </is>
      </c>
      <c r="E73" s="10" t="inlineStr">
        <is>
          <t>SPD-3141</t>
        </is>
      </c>
      <c r="F73" s="10" t="inlineStr">
        <is>
          <t>Opensearch Alerts Run books</t>
        </is>
      </c>
      <c r="G73" s="20" t="n">
        <v>2</v>
      </c>
    </row>
    <row r="74">
      <c r="A74" s="10" t="inlineStr">
        <is>
          <t>Team Ikigai</t>
        </is>
      </c>
      <c r="B74" s="10" t="inlineStr">
        <is>
          <t>Gerard Veldman</t>
        </is>
      </c>
      <c r="C74" s="10" t="inlineStr">
        <is>
          <t>SPD-2724</t>
        </is>
      </c>
      <c r="D74" s="10" t="inlineStr">
        <is>
          <t>SPD-2724 VoP Bulk Checker Iteration 1</t>
        </is>
      </c>
      <c r="E74" s="10" t="inlineStr">
        <is>
          <t>SPD-3126</t>
        </is>
      </c>
      <c r="F74" s="10" t="inlineStr">
        <is>
          <t>Bulk PRD ready</t>
        </is>
      </c>
      <c r="G74" s="20" t="n">
        <v>59.2</v>
      </c>
    </row>
    <row r="75">
      <c r="A75" s="10" t="inlineStr">
        <is>
          <t>Team Ikigai</t>
        </is>
      </c>
      <c r="B75" s="10" t="inlineStr">
        <is>
          <t>Gerard Veldman</t>
        </is>
      </c>
      <c r="C75" s="10" t="inlineStr">
        <is>
          <t>SPD-2724</t>
        </is>
      </c>
      <c r="D75" s="10" t="inlineStr">
        <is>
          <t>SPD-2724 VoP Bulk Checker Iteration 1</t>
        </is>
      </c>
      <c r="E75" s="10" t="inlineStr">
        <is>
          <t>SPD-3165</t>
        </is>
      </c>
      <c r="F75" s="10" t="inlineStr">
        <is>
          <t>Fix handling of bulk request file with only w</t>
        </is>
      </c>
      <c r="G75" s="20" t="n">
        <v>11.2</v>
      </c>
    </row>
    <row r="76">
      <c r="A76" s="10" t="inlineStr">
        <is>
          <t>Team Ikigai</t>
        </is>
      </c>
      <c r="B76" s="10" t="inlineStr">
        <is>
          <t>Gerard Veldman</t>
        </is>
      </c>
      <c r="C76" s="10" t="inlineStr">
        <is>
          <t>SPD-2724</t>
        </is>
      </c>
      <c r="D76" s="10" t="inlineStr">
        <is>
          <t>SPD-2724 VoP Bulk Checker Iteration 1</t>
        </is>
      </c>
      <c r="E76" s="10" t="inlineStr">
        <is>
          <t>SPD-3111</t>
        </is>
      </c>
      <c r="F76" s="10" t="inlineStr">
        <is>
          <t>Error Handling</t>
        </is>
      </c>
      <c r="G76" s="20" t="n">
        <v>4</v>
      </c>
    </row>
    <row r="77">
      <c r="A77" s="10" t="inlineStr">
        <is>
          <t>Team Ikigai</t>
        </is>
      </c>
      <c r="B77" s="10" t="inlineStr">
        <is>
          <t>Gerard Veldman</t>
        </is>
      </c>
      <c r="C77" s="10" t="inlineStr">
        <is>
          <t>SPD-2724</t>
        </is>
      </c>
      <c r="D77" s="10" t="inlineStr">
        <is>
          <t>SPD-2724 VoP Bulk Checker Iteration 1</t>
        </is>
      </c>
      <c r="E77" s="10" t="inlineStr">
        <is>
          <t>SPD-3157</t>
        </is>
      </c>
      <c r="F77" s="10" t="inlineStr">
        <is>
          <t>X Headers from Portal in the VoP Bulk API</t>
        </is>
      </c>
      <c r="G77" s="20" t="n">
        <v>2.9333</v>
      </c>
    </row>
    <row r="78">
      <c r="A78" s="10" t="inlineStr">
        <is>
          <t>Team Ikigai</t>
        </is>
      </c>
      <c r="B78" s="10" t="inlineStr">
        <is>
          <t>Gerard Veldman</t>
        </is>
      </c>
      <c r="C78" s="10" t="inlineStr">
        <is>
          <t>SPD-2724</t>
        </is>
      </c>
      <c r="D78" s="10" t="inlineStr">
        <is>
          <t>SPD-2724 VoP Bulk Checker Iteration 1</t>
        </is>
      </c>
      <c r="E78" s="10" t="inlineStr">
        <is>
          <t>SPD-3167</t>
        </is>
      </c>
      <c r="F78" s="10" t="inlineStr">
        <is>
          <t>Fix special character bug</t>
        </is>
      </c>
      <c r="G78" s="20" t="n">
        <v>2.9333</v>
      </c>
    </row>
    <row r="79">
      <c r="A79" s="10" t="inlineStr">
        <is>
          <t>Team Ikigai</t>
        </is>
      </c>
      <c r="B79" s="10" t="inlineStr">
        <is>
          <t>Gerard Veldman</t>
        </is>
      </c>
      <c r="C79" s="10" t="inlineStr">
        <is>
          <t>SPD-2724</t>
        </is>
      </c>
      <c r="D79" s="10" t="inlineStr">
        <is>
          <t>SPD-2724 VoP Bulk Checker Iteration 1</t>
        </is>
      </c>
      <c r="E79" s="10" t="inlineStr">
        <is>
          <t>SPD-3186</t>
        </is>
      </c>
      <c r="F79" s="10" t="inlineStr">
        <is>
          <t>Add headers to vop-gateway</t>
        </is>
      </c>
      <c r="G79" s="20" t="n">
        <v>1.6</v>
      </c>
    </row>
    <row r="80">
      <c r="A80" s="10" t="inlineStr">
        <is>
          <t>Team Ikigai</t>
        </is>
      </c>
      <c r="B80" s="10" t="inlineStr">
        <is>
          <t>Gerard Veldman</t>
        </is>
      </c>
      <c r="C80" s="10" t="inlineStr">
        <is>
          <t>SPD-3135</t>
        </is>
      </c>
      <c r="D80" s="10" t="inlineStr">
        <is>
          <t>SPD-3135 VoP Bulk Webhook</t>
        </is>
      </c>
      <c r="E80" s="10" t="inlineStr">
        <is>
          <t>SPD-3136</t>
        </is>
      </c>
      <c r="F80" s="10" t="inlineStr">
        <is>
          <t>Webhook application</t>
        </is>
      </c>
      <c r="G80" s="20" t="n">
        <v>39.2</v>
      </c>
    </row>
    <row r="81">
      <c r="A81" s="10" t="inlineStr">
        <is>
          <t>Team Ikigai</t>
        </is>
      </c>
      <c r="B81" s="10" t="inlineStr">
        <is>
          <t>Gerard Veldman</t>
        </is>
      </c>
      <c r="C81" s="10" t="inlineStr">
        <is>
          <t>SPD-3135</t>
        </is>
      </c>
      <c r="D81" s="10" t="inlineStr">
        <is>
          <t>SPD-3135 VoP Bulk Webhook</t>
        </is>
      </c>
      <c r="E81" s="10" t="inlineStr">
        <is>
          <t>SPD-3168</t>
        </is>
      </c>
      <c r="F81" s="10" t="inlineStr">
        <is>
          <t>Support custom parameters for Webhook auth se</t>
        </is>
      </c>
      <c r="G81" s="20" t="n">
        <v>6.9333</v>
      </c>
    </row>
    <row r="82">
      <c r="A82" s="10" t="inlineStr">
        <is>
          <t>Team Ikigai</t>
        </is>
      </c>
      <c r="B82" s="10" t="inlineStr">
        <is>
          <t>Manali Shah</t>
        </is>
      </c>
      <c r="C82" s="10" t="inlineStr">
        <is>
          <t>SPD-2723</t>
        </is>
      </c>
      <c r="D82" s="10" t="inlineStr">
        <is>
          <t>SPD-2723 VoP Algorithm for BE GoLive</t>
        </is>
      </c>
      <c r="E82" s="10" t="inlineStr">
        <is>
          <t>SPD-3190</t>
        </is>
      </c>
      <c r="F82" s="10" t="inlineStr">
        <is>
          <t>Document the surname only change of NMA</t>
        </is>
      </c>
      <c r="G82" s="20" t="n">
        <v>2.6667</v>
      </c>
    </row>
    <row r="83">
      <c r="A83" s="10" t="inlineStr">
        <is>
          <t>Team Ikigai</t>
        </is>
      </c>
      <c r="B83" s="10" t="inlineStr">
        <is>
          <t>Manali Shah</t>
        </is>
      </c>
      <c r="C83" s="10" t="inlineStr">
        <is>
          <t>SPD-2834</t>
        </is>
      </c>
      <c r="D83" s="10" t="inlineStr">
        <is>
          <t>SPD-2834 VoP Data Hosting Iteration 2</t>
        </is>
      </c>
      <c r="E83" s="10" t="inlineStr">
        <is>
          <t>SPD-3113</t>
        </is>
      </c>
      <c r="F83" s="10" t="inlineStr">
        <is>
          <t>Reject accounts with country codes other than</t>
        </is>
      </c>
      <c r="G83" s="20" t="n">
        <v>34.6667</v>
      </c>
    </row>
    <row r="84">
      <c r="A84" s="10" t="inlineStr">
        <is>
          <t>Team Ikigai</t>
        </is>
      </c>
      <c r="B84" s="10" t="inlineStr">
        <is>
          <t>Manali Shah</t>
        </is>
      </c>
      <c r="C84" s="10" t="inlineStr">
        <is>
          <t>SPD-3094</t>
        </is>
      </c>
      <c r="D84" s="10" t="inlineStr">
        <is>
          <t>SPD-3094 VoP Algorithm IPR Ready</t>
        </is>
      </c>
      <c r="E84" s="10" t="inlineStr">
        <is>
          <t>SPD-3105</t>
        </is>
      </c>
      <c r="F84" s="10" t="inlineStr">
        <is>
          <t>A006 Change VoP Name Matching to return a NO_</t>
        </is>
      </c>
      <c r="G84" s="20" t="n">
        <v>76</v>
      </c>
    </row>
    <row r="85">
      <c r="A85" s="10" t="inlineStr">
        <is>
          <t>Team Ikigai</t>
        </is>
      </c>
      <c r="B85" s="10" t="inlineStr">
        <is>
          <t>Elisabeth Gie</t>
        </is>
      </c>
      <c r="C85" s="10" t="inlineStr">
        <is>
          <t>SPD-2749</t>
        </is>
      </c>
      <c r="D85" s="10" t="inlineStr">
        <is>
          <t>SPD-2749 VoP Data Hosting Ingester v1</t>
        </is>
      </c>
      <c r="E85" s="10" t="inlineStr">
        <is>
          <t>SPD-2847</t>
        </is>
      </c>
      <c r="F85" s="10" t="inlineStr">
        <is>
          <t>Change in specs for invalid accounts</t>
        </is>
      </c>
      <c r="G85" s="20" t="n">
        <v>16</v>
      </c>
    </row>
    <row r="86">
      <c r="A86" s="10" t="inlineStr">
        <is>
          <t>Team Ikigai</t>
        </is>
      </c>
      <c r="B86" s="10" t="inlineStr">
        <is>
          <t>Chaitanya Sagi</t>
        </is>
      </c>
      <c r="C86" s="10" t="inlineStr">
        <is>
          <t>SPD-3012</t>
        </is>
      </c>
      <c r="D86" s="10" t="inlineStr">
        <is>
          <t>SPD-3012 VoP Bulk Checker Iteration 2</t>
        </is>
      </c>
      <c r="E86" s="10" t="inlineStr">
        <is>
          <t>SPD-3153</t>
        </is>
      </c>
      <c r="F86" s="10" t="inlineStr">
        <is>
          <t>[VoP Bulk Check] Deploy traefik solution to p</t>
        </is>
      </c>
      <c r="G86" s="20" t="n">
        <v>8</v>
      </c>
    </row>
    <row r="87">
      <c r="A87" s="10" t="inlineStr">
        <is>
          <t>Team Samba</t>
        </is>
      </c>
      <c r="B87" s="10" t="inlineStr">
        <is>
          <t>Orwa Badran</t>
        </is>
      </c>
      <c r="C87" s="10" t="inlineStr">
        <is>
          <t>SDO-7438</t>
        </is>
      </c>
      <c r="D87" s="10" t="inlineStr">
        <is>
          <t>SDO-7438 VOP Gateway - Enhancements</t>
        </is>
      </c>
      <c r="E87" s="10" t="inlineStr">
        <is>
          <t>SDO-7294</t>
        </is>
      </c>
      <c r="F87" s="10" t="inlineStr">
        <is>
          <t>[VoP GW] Add an Observability agent</t>
        </is>
      </c>
      <c r="G87" s="20" t="n">
        <v>10.6667</v>
      </c>
    </row>
    <row r="88">
      <c r="A88" s="10" t="inlineStr">
        <is>
          <t>Team Samba</t>
        </is>
      </c>
      <c r="B88" s="10" t="inlineStr">
        <is>
          <t>Orwa Badran</t>
        </is>
      </c>
      <c r="C88" s="10" t="inlineStr">
        <is>
          <t>SDO-7438</t>
        </is>
      </c>
      <c r="D88" s="10" t="inlineStr">
        <is>
          <t>SDO-7438 VOP Gateway - Enhancements</t>
        </is>
      </c>
      <c r="E88" s="10" t="inlineStr">
        <is>
          <t>SDO-7585</t>
        </is>
      </c>
      <c r="F88" s="10" t="inlineStr">
        <is>
          <t>Investigate: Align the x-cutoff and x-timeout</t>
        </is>
      </c>
      <c r="G88" s="20" t="n">
        <v>10.6667</v>
      </c>
    </row>
    <row r="89">
      <c r="A89" s="10" t="inlineStr">
        <is>
          <t>Team Samba</t>
        </is>
      </c>
      <c r="B89" s="10" t="inlineStr">
        <is>
          <t>Orwa Badran</t>
        </is>
      </c>
      <c r="C89" s="10" t="inlineStr">
        <is>
          <t>SDO-7438</t>
        </is>
      </c>
      <c r="D89" s="10" t="inlineStr">
        <is>
          <t>SDO-7438 VOP Gateway - Enhancements</t>
        </is>
      </c>
      <c r="E89" s="10" t="inlineStr">
        <is>
          <t>SDO-7528</t>
        </is>
      </c>
      <c r="F89" s="10" t="inlineStr">
        <is>
          <t>[Offline] Implement Timeout response for offl</t>
        </is>
      </c>
      <c r="G89" s="20" t="n">
        <v>7.3333</v>
      </c>
    </row>
    <row r="90">
      <c r="A90" s="10" t="inlineStr">
        <is>
          <t>Team Samba</t>
        </is>
      </c>
      <c r="B90" s="10" t="inlineStr">
        <is>
          <t>Orwa Badran</t>
        </is>
      </c>
      <c r="C90" s="10" t="inlineStr">
        <is>
          <t>SDO-7438</t>
        </is>
      </c>
      <c r="D90" s="10" t="inlineStr">
        <is>
          <t>SDO-7438 VOP Gateway - Enhancements</t>
        </is>
      </c>
      <c r="E90" s="10" t="inlineStr">
        <is>
          <t>SDO-7655</t>
        </is>
      </c>
      <c r="F90" s="10" t="inlineStr">
        <is>
          <t>Changes to java-organisation-rest-api to upta</t>
        </is>
      </c>
      <c r="G90" s="20" t="n">
        <v>5.3333</v>
      </c>
    </row>
    <row r="91">
      <c r="A91" s="10" t="inlineStr">
        <is>
          <t>Team Samba</t>
        </is>
      </c>
      <c r="B91" s="10" t="inlineStr">
        <is>
          <t>Orwa Badran</t>
        </is>
      </c>
      <c r="C91" s="10" t="inlineStr">
        <is>
          <t>SDO-7438</t>
        </is>
      </c>
      <c r="D91" s="10" t="inlineStr">
        <is>
          <t>SDO-7438 VOP Gateway - Enhancements</t>
        </is>
      </c>
      <c r="E91" s="10" t="inlineStr">
        <is>
          <t>SDO-7583</t>
        </is>
      </c>
      <c r="F91" s="10" t="inlineStr">
        <is>
          <t>Investigate how to add KVK account data to be</t>
        </is>
      </c>
      <c r="G91" s="20" t="n">
        <v>4.6667</v>
      </c>
    </row>
    <row r="92">
      <c r="A92" s="10" t="inlineStr">
        <is>
          <t>Team Samba</t>
        </is>
      </c>
      <c r="B92" s="10" t="inlineStr">
        <is>
          <t>Orwa Badran</t>
        </is>
      </c>
      <c r="C92" s="10" t="inlineStr">
        <is>
          <t>SDO-7620</t>
        </is>
      </c>
      <c r="D92" s="10" t="inlineStr">
        <is>
          <t>SDO-7620 Accounts override - manual loading</t>
        </is>
      </c>
      <c r="E92" s="10" t="inlineStr">
        <is>
          <t>SDO-7611</t>
        </is>
      </c>
      <c r="F92" s="10" t="inlineStr">
        <is>
          <t>Add Data-Hosting support for the manual overr</t>
        </is>
      </c>
      <c r="G92" s="20" t="n">
        <v>39.3333</v>
      </c>
    </row>
    <row r="93">
      <c r="A93" s="10" t="inlineStr">
        <is>
          <t>Team Samba</t>
        </is>
      </c>
      <c r="B93" s="10" t="inlineStr">
        <is>
          <t>Orwa Badran</t>
        </is>
      </c>
      <c r="C93" s="10" t="inlineStr">
        <is>
          <t>SDO-7634</t>
        </is>
      </c>
      <c r="D93" s="10" t="inlineStr">
        <is>
          <t>SDO-7634 BIC Enrichment</t>
        </is>
      </c>
      <c r="E93" s="10" t="inlineStr">
        <is>
          <t>SDO-7646</t>
        </is>
      </c>
      <c r="F93" s="10" t="inlineStr">
        <is>
          <t>Create Bic enrichment service and repository</t>
        </is>
      </c>
      <c r="G93" s="20" t="n">
        <v>32</v>
      </c>
    </row>
    <row r="94">
      <c r="A94" s="10" t="inlineStr">
        <is>
          <t>Team Samba</t>
        </is>
      </c>
      <c r="B94" s="10" t="inlineStr">
        <is>
          <t>Orwa Badran</t>
        </is>
      </c>
      <c r="C94" s="10" t="inlineStr">
        <is>
          <t>SDO-7634</t>
        </is>
      </c>
      <c r="D94" s="10" t="inlineStr">
        <is>
          <t>SDO-7634 BIC Enrichment</t>
        </is>
      </c>
      <c r="E94" s="10" t="inlineStr">
        <is>
          <t>SDO-7647</t>
        </is>
      </c>
      <c r="F94" s="10" t="inlineStr">
        <is>
          <t>Create BIC Enrichment API Specifications usin</t>
        </is>
      </c>
      <c r="G94" s="20" t="n">
        <v>17.3333</v>
      </c>
    </row>
    <row r="95">
      <c r="A95" s="10" t="inlineStr">
        <is>
          <t>Team Samba</t>
        </is>
      </c>
      <c r="B95" s="10" t="inlineStr">
        <is>
          <t>Orwa Badran</t>
        </is>
      </c>
      <c r="C95" s="10" t="inlineStr">
        <is>
          <t>SDO-7634</t>
        </is>
      </c>
      <c r="D95" s="10" t="inlineStr">
        <is>
          <t>SDO-7634 BIC Enrichment</t>
        </is>
      </c>
      <c r="E95" s="10" t="inlineStr">
        <is>
          <t>SDO-7316</t>
        </is>
      </c>
      <c r="F95" s="10" t="inlineStr">
        <is>
          <t>Investigate BIC Enrichment solution (API comp</t>
        </is>
      </c>
      <c r="G95" s="20" t="n">
        <v>14.6667</v>
      </c>
    </row>
    <row r="96">
      <c r="A96" s="10" t="inlineStr">
        <is>
          <t>Team Samba</t>
        </is>
      </c>
      <c r="B96" s="10" t="inlineStr">
        <is>
          <t>Sheik Farzand Razi</t>
        </is>
      </c>
      <c r="C96" s="10" t="inlineStr">
        <is>
          <t>SDO-5021</t>
        </is>
      </c>
      <c r="D96" s="10" t="inlineStr">
        <is>
          <t xml:space="preserve">SDO-5021 Service Improvements </t>
        </is>
      </c>
      <c r="E96" s="10" t="inlineStr">
        <is>
          <t>SDO-7478</t>
        </is>
      </c>
      <c r="F96" s="10" t="inlineStr">
        <is>
          <t xml:space="preserve">[Automation] monitoring for certs created by </t>
        </is>
      </c>
      <c r="G96" s="20" t="n">
        <v>33.6</v>
      </c>
    </row>
    <row r="97">
      <c r="A97" s="10" t="inlineStr">
        <is>
          <t>Team Samba</t>
        </is>
      </c>
      <c r="B97" s="10" t="inlineStr">
        <is>
          <t>Sheik Farzand Razi</t>
        </is>
      </c>
      <c r="C97" s="10" t="inlineStr">
        <is>
          <t>SDO-7438</t>
        </is>
      </c>
      <c r="D97" s="10" t="inlineStr">
        <is>
          <t>SDO-7438 VOP Gateway - Enhancements</t>
        </is>
      </c>
      <c r="E97" s="10" t="inlineStr">
        <is>
          <t>SDO-7598</t>
        </is>
      </c>
      <c r="F97" s="10" t="inlineStr">
        <is>
          <t>Reduce the sampling rate of APMs on Acceptanc</t>
        </is>
      </c>
      <c r="G97" s="20" t="n">
        <v>13.6</v>
      </c>
    </row>
    <row r="98">
      <c r="A98" s="10" t="inlineStr">
        <is>
          <t>Team Samba</t>
        </is>
      </c>
      <c r="B98" s="10" t="inlineStr">
        <is>
          <t>Sheik Farzand Razi</t>
        </is>
      </c>
      <c r="C98" s="10" t="inlineStr">
        <is>
          <t>SDO-7438</t>
        </is>
      </c>
      <c r="D98" s="10" t="inlineStr">
        <is>
          <t>SDO-7438 VOP Gateway - Enhancements</t>
        </is>
      </c>
      <c r="E98" s="10" t="inlineStr">
        <is>
          <t>SDO-7529</t>
        </is>
      </c>
      <c r="F98" s="10" t="inlineStr">
        <is>
          <t>Scale up ACC for performance testing for 1000</t>
        </is>
      </c>
      <c r="G98" s="20" t="n">
        <v>6.9333</v>
      </c>
    </row>
    <row r="99">
      <c r="A99" s="10" t="inlineStr">
        <is>
          <t>Team Samba</t>
        </is>
      </c>
      <c r="B99" s="10" t="inlineStr">
        <is>
          <t>Sheik Farzand Razi</t>
        </is>
      </c>
      <c r="C99" s="10" t="inlineStr">
        <is>
          <t>SDO-7438</t>
        </is>
      </c>
      <c r="D99" s="10" t="inlineStr">
        <is>
          <t>SDO-7438 VOP Gateway - Enhancements</t>
        </is>
      </c>
      <c r="E99" s="10" t="inlineStr">
        <is>
          <t>SDO-7530</t>
        </is>
      </c>
      <c r="F99" s="10" t="inlineStr">
        <is>
          <t xml:space="preserve">Scale down ACC after performance testing for </t>
        </is>
      </c>
      <c r="G99" s="20" t="n">
        <v>1.6</v>
      </c>
    </row>
    <row r="100">
      <c r="A100" s="10" t="inlineStr">
        <is>
          <t>Team Samba</t>
        </is>
      </c>
      <c r="B100" s="10" t="inlineStr">
        <is>
          <t>Sheik Farzand Razi</t>
        </is>
      </c>
      <c r="C100" s="10" t="inlineStr">
        <is>
          <t>SDO-7622</t>
        </is>
      </c>
      <c r="D100" s="10" t="inlineStr">
        <is>
          <t>SDO-7622 VOP Performance investigation</t>
        </is>
      </c>
      <c r="E100" s="10" t="inlineStr">
        <is>
          <t>SDO-7627</t>
        </is>
      </c>
      <c r="F100" s="10" t="inlineStr">
        <is>
          <t>Initiate performance testing</t>
        </is>
      </c>
      <c r="G100" s="20" t="n">
        <v>24</v>
      </c>
    </row>
    <row r="101">
      <c r="A101" s="10" t="inlineStr">
        <is>
          <t>Team Samba</t>
        </is>
      </c>
      <c r="B101" s="10" t="inlineStr">
        <is>
          <t>Sheik Farzand Razi</t>
        </is>
      </c>
      <c r="C101" s="10" t="inlineStr">
        <is>
          <t>SDO-7622</t>
        </is>
      </c>
      <c r="D101" s="10" t="inlineStr">
        <is>
          <t>SDO-7622 VOP Performance investigation</t>
        </is>
      </c>
      <c r="E101" s="10" t="inlineStr">
        <is>
          <t>SDO-7670</t>
        </is>
      </c>
      <c r="F101" s="10" t="inlineStr">
        <is>
          <t>Deploy gatling</t>
        </is>
      </c>
      <c r="G101" s="20" t="n">
        <v>16</v>
      </c>
    </row>
    <row r="102">
      <c r="A102" s="10" t="inlineStr">
        <is>
          <t>Team Samba</t>
        </is>
      </c>
      <c r="B102" s="10" t="inlineStr">
        <is>
          <t>Muhammad Sulaiman</t>
        </is>
      </c>
      <c r="C102" s="10" t="inlineStr">
        <is>
          <t>SDO-5021</t>
        </is>
      </c>
      <c r="D102" s="10" t="inlineStr">
        <is>
          <t xml:space="preserve">SDO-5021 Service Improvements </t>
        </is>
      </c>
      <c r="E102" s="10" t="inlineStr">
        <is>
          <t>SDO-7478</t>
        </is>
      </c>
      <c r="F102" s="10" t="inlineStr">
        <is>
          <t xml:space="preserve">[Automation] monitoring for certs created by </t>
        </is>
      </c>
      <c r="G102" s="20" t="n">
        <v>49.0667</v>
      </c>
    </row>
    <row r="103">
      <c r="A103" s="10" t="inlineStr">
        <is>
          <t>Team Samba</t>
        </is>
      </c>
      <c r="B103" s="10" t="inlineStr">
        <is>
          <t>Muhammad Sulaiman</t>
        </is>
      </c>
      <c r="C103" s="10" t="inlineStr">
        <is>
          <t>SDO-5021</t>
        </is>
      </c>
      <c r="D103" s="10" t="inlineStr">
        <is>
          <t xml:space="preserve">SDO-5021 Service Improvements </t>
        </is>
      </c>
      <c r="E103" s="10" t="inlineStr">
        <is>
          <t>SDO-7527</t>
        </is>
      </c>
      <c r="F103" s="10" t="inlineStr">
        <is>
          <t>Patch Management - June</t>
        </is>
      </c>
      <c r="G103" s="20" t="n">
        <v>4.2667</v>
      </c>
    </row>
    <row r="104">
      <c r="A104" s="10" t="inlineStr">
        <is>
          <t>Team Samba</t>
        </is>
      </c>
      <c r="B104" s="10" t="inlineStr">
        <is>
          <t>Muhammad Sulaiman</t>
        </is>
      </c>
      <c r="C104" s="10" t="inlineStr">
        <is>
          <t>SDO-7438</t>
        </is>
      </c>
      <c r="D104" s="10" t="inlineStr">
        <is>
          <t>SDO-7438 VOP Gateway - Enhancements</t>
        </is>
      </c>
      <c r="E104" s="10" t="inlineStr">
        <is>
          <t>SDO-7534</t>
        </is>
      </c>
      <c r="F104" s="10" t="inlineStr">
        <is>
          <t>Release new BE library (PRD)</t>
        </is>
      </c>
      <c r="G104" s="20" t="n">
        <v>1.6</v>
      </c>
    </row>
    <row r="105">
      <c r="A105" s="10" t="inlineStr">
        <is>
          <t>Team Samba</t>
        </is>
      </c>
      <c r="B105" s="10" t="inlineStr">
        <is>
          <t>Muhammad Sulaiman</t>
        </is>
      </c>
      <c r="C105" s="10" t="inlineStr">
        <is>
          <t>SDO-7438</t>
        </is>
      </c>
      <c r="D105" s="10" t="inlineStr">
        <is>
          <t>SDO-7438 VOP Gateway - Enhancements</t>
        </is>
      </c>
      <c r="E105" s="10" t="inlineStr">
        <is>
          <t>SDO-7570</t>
        </is>
      </c>
      <c r="F105" s="10" t="inlineStr">
        <is>
          <t>Address security findings for VOP Gateway - D</t>
        </is>
      </c>
      <c r="G105" s="20" t="n">
        <v>1.3333</v>
      </c>
    </row>
    <row r="106">
      <c r="A106" s="10" t="inlineStr">
        <is>
          <t>Team Samba</t>
        </is>
      </c>
      <c r="B106" s="10" t="inlineStr">
        <is>
          <t>Ioannis Argyroulis</t>
        </is>
      </c>
      <c r="C106" s="10" t="inlineStr">
        <is>
          <t>SDO-7438</t>
        </is>
      </c>
      <c r="D106" s="10" t="inlineStr">
        <is>
          <t>SDO-7438 VOP Gateway - Enhancements</t>
        </is>
      </c>
      <c r="E106" s="10" t="inlineStr">
        <is>
          <t>SDO-7658</t>
        </is>
      </c>
      <c r="F106" s="10" t="inlineStr">
        <is>
          <t>[Inactive Logic] Make Inactive Logic configur</t>
        </is>
      </c>
      <c r="G106" s="20" t="n">
        <v>26.6667</v>
      </c>
    </row>
    <row r="107">
      <c r="A107" s="10" t="inlineStr">
        <is>
          <t>Team Samba</t>
        </is>
      </c>
      <c r="B107" s="10" t="inlineStr">
        <is>
          <t>Ioannis Argyroulis</t>
        </is>
      </c>
      <c r="C107" s="10" t="inlineStr">
        <is>
          <t>SDO-7438</t>
        </is>
      </c>
      <c r="D107" s="10" t="inlineStr">
        <is>
          <t>SDO-7438 VOP Gateway - Enhancements</t>
        </is>
      </c>
      <c r="E107" s="10" t="inlineStr">
        <is>
          <t>SDO-7681</t>
        </is>
      </c>
      <c r="F107" s="10" t="inlineStr">
        <is>
          <t>[VoP/Org/Bank - Inactive Accounts] Fix NO_MAT</t>
        </is>
      </c>
      <c r="G107" s="20" t="n">
        <v>12</v>
      </c>
    </row>
    <row r="108">
      <c r="A108" s="10" t="inlineStr">
        <is>
          <t>Team Samba</t>
        </is>
      </c>
      <c r="B108" s="10" t="inlineStr">
        <is>
          <t>Ioannis Argyroulis</t>
        </is>
      </c>
      <c r="C108" s="10" t="inlineStr">
        <is>
          <t>SDO-7438</t>
        </is>
      </c>
      <c r="D108" s="10" t="inlineStr">
        <is>
          <t>SDO-7438 VOP Gateway - Enhancements</t>
        </is>
      </c>
      <c r="E108" s="10" t="inlineStr">
        <is>
          <t>SDO-7428</t>
        </is>
      </c>
      <c r="F108" s="10" t="inlineStr">
        <is>
          <t xml:space="preserve">Limit access for ORG API users to just dutch </t>
        </is>
      </c>
      <c r="G108" s="20" t="n">
        <v>6.6667</v>
      </c>
    </row>
    <row r="109">
      <c r="A109" s="10" t="inlineStr">
        <is>
          <t>Team Samba</t>
        </is>
      </c>
      <c r="B109" s="10" t="inlineStr">
        <is>
          <t>Ioannis Argyroulis</t>
        </is>
      </c>
      <c r="C109" s="10" t="inlineStr">
        <is>
          <t>SDO-7438</t>
        </is>
      </c>
      <c r="D109" s="10" t="inlineStr">
        <is>
          <t>SDO-7438 VOP Gateway - Enhancements</t>
        </is>
      </c>
      <c r="E109" s="10" t="inlineStr">
        <is>
          <t>SDO-7587</t>
        </is>
      </c>
      <c r="F109" s="10" t="inlineStr">
        <is>
          <t xml:space="preserve">remove the timestamp validation from the VOP </t>
        </is>
      </c>
      <c r="G109" s="20" t="n">
        <v>6.6667</v>
      </c>
    </row>
    <row r="110">
      <c r="A110" s="10" t="inlineStr">
        <is>
          <t>Team Samba</t>
        </is>
      </c>
      <c r="B110" s="10" t="inlineStr">
        <is>
          <t>Adorjan Fritz</t>
        </is>
      </c>
      <c r="C110" s="10" t="inlineStr">
        <is>
          <t>SDO-8067</t>
        </is>
      </c>
      <c r="D110" s="10" t="inlineStr">
        <is>
          <t>SDO-8067 Swift outbound v3</t>
        </is>
      </c>
      <c r="E110" s="10" t="inlineStr">
        <is>
          <t>SDO-7551</t>
        </is>
      </c>
      <c r="F110" s="10" t="inlineStr">
        <is>
          <t>[Swift Preval Service] Begin to upgrade to v3</t>
        </is>
      </c>
      <c r="G110" s="20" t="n">
        <v>16</v>
      </c>
    </row>
    <row r="111">
      <c r="A111" s="10" t="inlineStr">
        <is>
          <t>Team Samba</t>
        </is>
      </c>
      <c r="B111" s="10" t="inlineStr">
        <is>
          <t>Ismail Kuyu</t>
        </is>
      </c>
      <c r="C111" s="10" t="inlineStr">
        <is>
          <t>SDO-7622</t>
        </is>
      </c>
      <c r="D111" s="10" t="inlineStr">
        <is>
          <t>SDO-7622 VOP Performance investigation</t>
        </is>
      </c>
      <c r="E111" s="10" t="inlineStr">
        <is>
          <t>SDO-7668</t>
        </is>
      </c>
      <c r="F111" s="10" t="inlineStr">
        <is>
          <t>Make changes to Switch Service to unblock per</t>
        </is>
      </c>
      <c r="G111" s="20" t="n">
        <v>10.6667</v>
      </c>
    </row>
    <row r="112">
      <c r="A112" s="10" t="inlineStr">
        <is>
          <t>YODA</t>
        </is>
      </c>
      <c r="B112" s="10" t="inlineStr">
        <is>
          <t>Parth Mewada</t>
        </is>
      </c>
      <c r="C112" s="10" t="inlineStr">
        <is>
          <t>YODA-1429</t>
        </is>
      </c>
      <c r="D112" s="10" t="inlineStr">
        <is>
          <t>YODA-1429 [Audit] Backup strategy</t>
        </is>
      </c>
      <c r="E112" s="10" t="inlineStr">
        <is>
          <t>YODA-1435</t>
        </is>
      </c>
      <c r="F112" s="10" t="inlineStr">
        <is>
          <t>[Backup-lambda] Add notifications to lambda o</t>
        </is>
      </c>
      <c r="G112" s="20" t="n">
        <v>55.3333</v>
      </c>
    </row>
    <row r="113">
      <c r="A113" s="10" t="inlineStr">
        <is>
          <t>YODA</t>
        </is>
      </c>
      <c r="B113" s="10" t="inlineStr">
        <is>
          <t>Parth Mewada</t>
        </is>
      </c>
      <c r="C113" s="10" t="inlineStr">
        <is>
          <t>YODA-1430</t>
        </is>
      </c>
      <c r="D113" s="10" t="inlineStr">
        <is>
          <t>YODA-1430 [Audit] Roll out</t>
        </is>
      </c>
      <c r="E113" s="10" t="inlineStr">
        <is>
          <t>YODA-1432</t>
        </is>
      </c>
      <c r="F113" s="10" t="inlineStr">
        <is>
          <t>[Onboarding-lambda] Change process to use con</t>
        </is>
      </c>
      <c r="G113" s="20" t="n">
        <v>40</v>
      </c>
    </row>
    <row r="114">
      <c r="A114" s="10" t="inlineStr">
        <is>
          <t>YODA</t>
        </is>
      </c>
      <c r="B114" s="10" t="inlineStr">
        <is>
          <t>Parth Mewada</t>
        </is>
      </c>
      <c r="C114" s="10" t="inlineStr">
        <is>
          <t>YODA-1565</t>
        </is>
      </c>
      <c r="D114" s="10" t="inlineStr">
        <is>
          <t>YODA-1565 [Audit] Add second cluster: Ireland</t>
        </is>
      </c>
      <c r="E114" s="10" t="inlineStr">
        <is>
          <t>YODA-1567</t>
        </is>
      </c>
      <c r="F114" s="10" t="inlineStr">
        <is>
          <t>[infra] Refactor the infra code so we can han</t>
        </is>
      </c>
      <c r="G114" s="20" t="n">
        <v>20.6667</v>
      </c>
    </row>
    <row r="115">
      <c r="A115" s="10" t="inlineStr">
        <is>
          <t>YODA</t>
        </is>
      </c>
      <c r="B115" s="10" t="inlineStr">
        <is>
          <t>Parth Mewada</t>
        </is>
      </c>
      <c r="C115" s="10" t="inlineStr">
        <is>
          <t>YODA-1565</t>
        </is>
      </c>
      <c r="D115" s="10" t="inlineStr">
        <is>
          <t>YODA-1565 [Audit] Add second cluster: Ireland</t>
        </is>
      </c>
      <c r="E115" s="10" t="inlineStr">
        <is>
          <t>YODA-1572</t>
        </is>
      </c>
      <c r="F115" s="10" t="inlineStr">
        <is>
          <t>Deploy the IE cluster to ACC</t>
        </is>
      </c>
      <c r="G115" s="20" t="n">
        <v>17.3333</v>
      </c>
    </row>
    <row r="116">
      <c r="A116" s="10" t="inlineStr">
        <is>
          <t>YODA</t>
        </is>
      </c>
      <c r="B116" s="10" t="inlineStr">
        <is>
          <t>Parth Mewada</t>
        </is>
      </c>
      <c r="C116" s="10" t="inlineStr">
        <is>
          <t>YODA-1565</t>
        </is>
      </c>
      <c r="D116" s="10" t="inlineStr">
        <is>
          <t>YODA-1565 [Audit] Add second cluster: Ireland</t>
        </is>
      </c>
      <c r="E116" s="10" t="inlineStr">
        <is>
          <t>YODA-1613</t>
        </is>
      </c>
      <c r="F116" s="10" t="inlineStr">
        <is>
          <t xml:space="preserve">[ACC] Remove ipWhitelisting from ingress for </t>
        </is>
      </c>
      <c r="G116" s="20" t="n">
        <v>2.6667</v>
      </c>
    </row>
    <row r="117">
      <c r="A117" s="10" t="inlineStr">
        <is>
          <t>YODA</t>
        </is>
      </c>
      <c r="B117" s="10" t="inlineStr">
        <is>
          <t>Parth Mewada</t>
        </is>
      </c>
      <c r="C117" s="10" t="inlineStr">
        <is>
          <t>YODA-1565</t>
        </is>
      </c>
      <c r="D117" s="10" t="inlineStr">
        <is>
          <t>YODA-1565 [Audit] Add second cluster: Ireland</t>
        </is>
      </c>
      <c r="E117" s="10" t="inlineStr">
        <is>
          <t>YODA-1575</t>
        </is>
      </c>
      <c r="F117" s="10" t="inlineStr">
        <is>
          <t>[TST|ACC] Add dns records for the new IE clus</t>
        </is>
      </c>
      <c r="G117" s="20" t="n">
        <v>2</v>
      </c>
    </row>
    <row r="118">
      <c r="A118" s="10" t="inlineStr">
        <is>
          <t>YODA</t>
        </is>
      </c>
      <c r="B118" s="10" t="inlineStr">
        <is>
          <t>Ramseshu Ghanta</t>
        </is>
      </c>
      <c r="C118" s="10" t="inlineStr">
        <is>
          <t>YODA-1413</t>
        </is>
      </c>
      <c r="D118" s="10" t="inlineStr">
        <is>
          <t>YODA-1413 OPA VOP for JPM</t>
        </is>
      </c>
      <c r="E118" s="10" t="inlineStr">
        <is>
          <t>YODA-1583</t>
        </is>
      </c>
      <c r="F118" s="10" t="inlineStr">
        <is>
          <t>Security review</t>
        </is>
      </c>
      <c r="G118" s="20" t="n">
        <v>10</v>
      </c>
    </row>
    <row r="119">
      <c r="A119" s="10" t="inlineStr">
        <is>
          <t>YODA</t>
        </is>
      </c>
      <c r="B119" s="10" t="inlineStr">
        <is>
          <t>Ramseshu Ghanta</t>
        </is>
      </c>
      <c r="C119" s="10" t="inlineStr">
        <is>
          <t>YODA-1429</t>
        </is>
      </c>
      <c r="D119" s="10" t="inlineStr">
        <is>
          <t>YODA-1429 [Audit] Backup strategy</t>
        </is>
      </c>
      <c r="E119" s="10" t="inlineStr">
        <is>
          <t>YODA-1435</t>
        </is>
      </c>
      <c r="F119" s="10" t="inlineStr">
        <is>
          <t>[Backup-lambda] Add notifications to lambda o</t>
        </is>
      </c>
      <c r="G119" s="20" t="n">
        <v>9.333299999999999</v>
      </c>
    </row>
    <row r="120">
      <c r="A120" s="10" t="inlineStr">
        <is>
          <t>YODA</t>
        </is>
      </c>
      <c r="B120" s="10" t="inlineStr">
        <is>
          <t>Ramseshu Ghanta</t>
        </is>
      </c>
      <c r="C120" s="10" t="inlineStr">
        <is>
          <t>YODA-1430</t>
        </is>
      </c>
      <c r="D120" s="10" t="inlineStr">
        <is>
          <t>YODA-1430 [Audit] Roll out</t>
        </is>
      </c>
      <c r="E120" s="10" t="inlineStr">
        <is>
          <t>YODA-1545</t>
        </is>
      </c>
      <c r="F120" s="10" t="inlineStr">
        <is>
          <t>[Vop gateway] Add Relevant Information in aud</t>
        </is>
      </c>
      <c r="G120" s="20" t="n">
        <v>44</v>
      </c>
    </row>
    <row r="121">
      <c r="A121" s="10" t="inlineStr">
        <is>
          <t>YODA</t>
        </is>
      </c>
      <c r="B121" s="10" t="inlineStr">
        <is>
          <t>Ramseshu Ghanta</t>
        </is>
      </c>
      <c r="C121" s="10" t="inlineStr">
        <is>
          <t>YODA-1565</t>
        </is>
      </c>
      <c r="D121" s="10" t="inlineStr">
        <is>
          <t>YODA-1565 [Audit] Add second cluster: Ireland</t>
        </is>
      </c>
      <c r="E121" s="10" t="inlineStr">
        <is>
          <t>YODA-1570</t>
        </is>
      </c>
      <c r="F121" s="10" t="inlineStr">
        <is>
          <t>Make sure Lambda's are multi cluster compatib</t>
        </is>
      </c>
      <c r="G121" s="20" t="n">
        <v>30.6667</v>
      </c>
    </row>
    <row r="122">
      <c r="A122" s="10" t="inlineStr">
        <is>
          <t>YODA</t>
        </is>
      </c>
      <c r="B122" s="10" t="inlineStr">
        <is>
          <t>Ramseshu Ghanta</t>
        </is>
      </c>
      <c r="C122" s="10" t="inlineStr">
        <is>
          <t>YODA-1565</t>
        </is>
      </c>
      <c r="D122" s="10" t="inlineStr">
        <is>
          <t>YODA-1565 [Audit] Add second cluster: Ireland</t>
        </is>
      </c>
      <c r="E122" s="10" t="inlineStr">
        <is>
          <t>YODA-1574</t>
        </is>
      </c>
      <c r="F122" s="10" t="inlineStr">
        <is>
          <t>[OrgAPi] Add environment property to handle s</t>
        </is>
      </c>
      <c r="G122" s="20" t="n">
        <v>22</v>
      </c>
    </row>
    <row r="123">
      <c r="A123" s="10" t="inlineStr">
        <is>
          <t>YODA</t>
        </is>
      </c>
      <c r="B123" s="10" t="inlineStr">
        <is>
          <t>Ramseshu Ghanta</t>
        </is>
      </c>
      <c r="C123" s="10" t="inlineStr">
        <is>
          <t>YODA-1565</t>
        </is>
      </c>
      <c r="D123" s="10" t="inlineStr">
        <is>
          <t>YODA-1565 [Audit] Add second cluster: Ireland</t>
        </is>
      </c>
      <c r="E123" s="10" t="inlineStr">
        <is>
          <t>YODA-1573</t>
        </is>
      </c>
      <c r="F123" s="10" t="inlineStr">
        <is>
          <t>[Opensearch] Create tenants on ACC</t>
        </is>
      </c>
      <c r="G123" s="20" t="n">
        <v>14</v>
      </c>
    </row>
    <row r="124">
      <c r="A124" s="10" t="inlineStr">
        <is>
          <t>YODA</t>
        </is>
      </c>
      <c r="B124" s="10" t="inlineStr">
        <is>
          <t>Julian Mulder</t>
        </is>
      </c>
      <c r="C124" s="10" t="inlineStr">
        <is>
          <t>YODA-1429</t>
        </is>
      </c>
      <c r="D124" s="10" t="inlineStr">
        <is>
          <t>YODA-1429 [Audit] Backup strategy</t>
        </is>
      </c>
      <c r="E124" s="10" t="inlineStr">
        <is>
          <t>YODA-1508</t>
        </is>
      </c>
      <c r="F124" s="10" t="inlineStr">
        <is>
          <t>Synchronise backups to backup account.</t>
        </is>
      </c>
      <c r="G124" s="20" t="n">
        <v>64</v>
      </c>
    </row>
    <row r="125">
      <c r="A125" s="10" t="inlineStr">
        <is>
          <t>YODA</t>
        </is>
      </c>
      <c r="B125" s="10" t="inlineStr">
        <is>
          <t>Richard Oliver</t>
        </is>
      </c>
      <c r="C125" s="10" t="inlineStr">
        <is>
          <t>YODA-1413</t>
        </is>
      </c>
      <c r="D125" s="10" t="inlineStr">
        <is>
          <t>YODA-1413 OPA VOP for JPM</t>
        </is>
      </c>
      <c r="E125" s="10" t="inlineStr">
        <is>
          <t>YODA-1581</t>
        </is>
      </c>
      <c r="F125" s="10" t="inlineStr">
        <is>
          <t>Set up infra for OPA EU</t>
        </is>
      </c>
      <c r="G125" s="20" t="n">
        <v>21.3333</v>
      </c>
    </row>
    <row r="126">
      <c r="A126" s="10" t="inlineStr">
        <is>
          <t>YODA</t>
        </is>
      </c>
      <c r="B126" s="10" t="inlineStr">
        <is>
          <t>Richard Oliver</t>
        </is>
      </c>
      <c r="C126" s="10" t="inlineStr">
        <is>
          <t>YODA-1413</t>
        </is>
      </c>
      <c r="D126" s="10" t="inlineStr">
        <is>
          <t>YODA-1413 OPA VOP for JPM</t>
        </is>
      </c>
      <c r="E126" s="10" t="inlineStr">
        <is>
          <t>YODA-1582</t>
        </is>
      </c>
      <c r="F126" s="10" t="inlineStr">
        <is>
          <t>Clean up pipelines for new repo</t>
        </is>
      </c>
      <c r="G126" s="20" t="n">
        <v>10</v>
      </c>
    </row>
    <row r="127">
      <c r="A127" s="10" t="inlineStr">
        <is>
          <t>YODA</t>
        </is>
      </c>
      <c r="B127" s="10" t="inlineStr">
        <is>
          <t>Richard Oliver</t>
        </is>
      </c>
      <c r="C127" s="10" t="inlineStr">
        <is>
          <t>YODA-1413</t>
        </is>
      </c>
      <c r="D127" s="10" t="inlineStr">
        <is>
          <t>YODA-1413 OPA VOP for JPM</t>
        </is>
      </c>
      <c r="E127" s="10" t="inlineStr">
        <is>
          <t>YODA-1580</t>
        </is>
      </c>
      <c r="F127" s="10" t="inlineStr">
        <is>
          <t>Fork OPA repo</t>
        </is>
      </c>
      <c r="G127" s="20" t="n">
        <v>2.6667</v>
      </c>
    </row>
    <row r="128">
      <c r="A128" s="10" t="inlineStr">
        <is>
          <t>YODA</t>
        </is>
      </c>
      <c r="B128" s="10" t="inlineStr">
        <is>
          <t>Marin Onofrei</t>
        </is>
      </c>
      <c r="C128" s="10" t="inlineStr">
        <is>
          <t>YODA-1430</t>
        </is>
      </c>
      <c r="D128" s="10" t="inlineStr">
        <is>
          <t>YODA-1430 [Audit] Roll out</t>
        </is>
      </c>
      <c r="E128" s="10" t="inlineStr">
        <is>
          <t>YODA-1545</t>
        </is>
      </c>
      <c r="F128" s="10" t="inlineStr">
        <is>
          <t>[Vop gateway] Add Relevant Information in aud</t>
        </is>
      </c>
      <c r="G128" s="20" t="n">
        <v>30</v>
      </c>
    </row>
    <row r="129">
      <c r="A129" s="10" t="inlineStr">
        <is>
          <t>YODA</t>
        </is>
      </c>
      <c r="B129" s="10" t="inlineStr">
        <is>
          <t>Mark Moorcroft</t>
        </is>
      </c>
      <c r="C129" s="10" t="inlineStr">
        <is>
          <t>YODA-1413</t>
        </is>
      </c>
      <c r="D129" s="10" t="inlineStr">
        <is>
          <t>YODA-1413 OPA VOP for JPM</t>
        </is>
      </c>
      <c r="E129" s="10" t="inlineStr">
        <is>
          <t>YODA-1585</t>
        </is>
      </c>
      <c r="F129" s="10" t="inlineStr">
        <is>
          <t xml:space="preserve">Add mapping </t>
        </is>
      </c>
      <c r="G129" s="20" t="n">
        <v>5.3333</v>
      </c>
    </row>
    <row r="130">
      <c r="A130" s="10" t="inlineStr">
        <is>
          <t>YODA</t>
        </is>
      </c>
      <c r="B130" s="10" t="inlineStr">
        <is>
          <t>Mark Moorcroft</t>
        </is>
      </c>
      <c r="C130" s="10" t="inlineStr">
        <is>
          <t>YODA-1565</t>
        </is>
      </c>
      <c r="D130" s="10" t="inlineStr">
        <is>
          <t>YODA-1565 [Audit] Add second cluster: Ireland</t>
        </is>
      </c>
      <c r="E130" s="10" t="inlineStr">
        <is>
          <t>YODA-1569</t>
        </is>
      </c>
      <c r="F130" s="10" t="inlineStr">
        <is>
          <t>[FluentD] Configure for new IE cluster on ACC</t>
        </is>
      </c>
      <c r="G130" s="20" t="n">
        <v>6.6667</v>
      </c>
    </row>
    <row r="131">
      <c r="A131" s="10" t="inlineStr">
        <is>
          <t>YODA</t>
        </is>
      </c>
      <c r="B131" s="10" t="inlineStr">
        <is>
          <t>Mark Moorcroft</t>
        </is>
      </c>
      <c r="C131" s="10" t="inlineStr">
        <is>
          <t>YODA-1565</t>
        </is>
      </c>
      <c r="D131" s="10" t="inlineStr">
        <is>
          <t>YODA-1565 [Audit] Add second cluster: Ireland</t>
        </is>
      </c>
      <c r="E131" s="10" t="inlineStr">
        <is>
          <t>YODA-1571</t>
        </is>
      </c>
      <c r="F131" s="10" t="inlineStr">
        <is>
          <t>Auth0 - Create tenants on ACC</t>
        </is>
      </c>
      <c r="G131" s="20" t="n">
        <v>4</v>
      </c>
    </row>
    <row r="133">
      <c r="F133" s="3" t="inlineStr">
        <is>
          <t>TOTAL</t>
        </is>
      </c>
      <c r="G133" s="15">
        <f>SUM(G4:G131)</f>
        <v/>
      </c>
    </row>
  </sheetData>
  <autoFilter ref="A3:G1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Pastel de Portal Team</t>
        </is>
      </c>
      <c r="B4" s="10" t="inlineStr">
        <is>
          <t>PT-350</t>
        </is>
      </c>
      <c r="C4" s="10" t="inlineStr">
        <is>
          <t>Absent from the mapping CSV entirely</t>
        </is>
      </c>
      <c r="D4" s="10" t="inlineStr">
        <is>
          <t>PT-233</t>
        </is>
      </c>
      <c r="E4" s="10" t="inlineStr">
        <is>
          <t>Treated as non-WBSO. Add a row to the CSV if it should count.</t>
        </is>
      </c>
    </row>
    <row r="5">
      <c r="A5" s="10" t="inlineStr">
        <is>
          <t>Pastel de Portal Team</t>
        </is>
      </c>
      <c r="B5" s="10" t="inlineStr">
        <is>
          <t>PT-57</t>
        </is>
      </c>
      <c r="C5" s="10" t="inlineStr">
        <is>
          <t>Absent from the mapping CSV entirely</t>
        </is>
      </c>
      <c r="D5" s="10" t="inlineStr">
        <is>
          <t>PT-90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SUK-1438</t>
        </is>
      </c>
      <c r="C6" s="10" t="inlineStr">
        <is>
          <t>Absent from the mapping CSV entirely</t>
        </is>
      </c>
      <c r="D6" s="10" t="inlineStr">
        <is>
          <t>SUK-1557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SUK-2339</t>
        </is>
      </c>
      <c r="C7" s="10" t="inlineStr">
        <is>
          <t>Absent from the mapping CSV entirely</t>
        </is>
      </c>
      <c r="D7" s="10" t="inlineStr">
        <is>
          <t>SUK-3511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SUK-4741</t>
        </is>
      </c>
      <c r="C8" s="10" t="inlineStr">
        <is>
          <t>Absent from the mapping CSV entirely</t>
        </is>
      </c>
      <c r="D8" s="10" t="inlineStr">
        <is>
          <t>SUK-4751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Horizon</t>
        </is>
      </c>
      <c r="B9" s="10" t="inlineStr">
        <is>
          <t>SUK-6070</t>
        </is>
      </c>
      <c r="C9" s="10" t="inlineStr">
        <is>
          <t>Absent from the mapping CSV entirely</t>
        </is>
      </c>
      <c r="D9" s="10" t="inlineStr">
        <is>
          <t>SUK-5456</t>
        </is>
      </c>
      <c r="E9" s="10" t="inlineStr">
        <is>
          <t>Treated as non-WBSO. Add a row to the CSV if it should count.</t>
        </is>
      </c>
    </row>
    <row r="10">
      <c r="A10" s="10" t="inlineStr">
        <is>
          <t>Team Horizon</t>
        </is>
      </c>
      <c r="B10" s="10" t="inlineStr">
        <is>
          <t>SUK-6076</t>
        </is>
      </c>
      <c r="C10" s="10" t="inlineStr">
        <is>
          <t>Absent from the mapping CSV entirely</t>
        </is>
      </c>
      <c r="D10" s="10" t="inlineStr">
        <is>
          <t>SUK-5097</t>
        </is>
      </c>
      <c r="E10" s="10" t="inlineStr">
        <is>
          <t>Treated as non-WBSO. Add a row to the CSV if it should count.</t>
        </is>
      </c>
    </row>
    <row r="11">
      <c r="A11" s="10" t="inlineStr">
        <is>
          <t>Team Horizon</t>
        </is>
      </c>
      <c r="B11" s="10" t="inlineStr">
        <is>
          <t>SUK-6249</t>
        </is>
      </c>
      <c r="C11" s="10" t="inlineStr">
        <is>
          <t>Absent from the mapping CSV entirely</t>
        </is>
      </c>
      <c r="D11" s="10" t="inlineStr">
        <is>
          <t>SUK-5522</t>
        </is>
      </c>
      <c r="E11" s="10" t="inlineStr">
        <is>
          <t>Treated as non-WBSO. Add a row to the CSV if it should count.</t>
        </is>
      </c>
    </row>
    <row r="12">
      <c r="A12" s="10" t="inlineStr">
        <is>
          <t>Team Samba</t>
        </is>
      </c>
      <c r="B12" s="10" t="inlineStr">
        <is>
          <t>SDO-8170</t>
        </is>
      </c>
      <c r="C12" s="10" t="inlineStr">
        <is>
          <t>Absent from the mapping CSV entirely</t>
        </is>
      </c>
      <c r="D12" s="10" t="inlineStr">
        <is>
          <t>SDO-7265</t>
        </is>
      </c>
      <c r="E12" s="10" t="inlineStr">
        <is>
          <t>Treated as non-WBSO. Add a row to the CSV if it should count.</t>
        </is>
      </c>
    </row>
    <row r="13">
      <c r="A13" s="10" t="inlineStr">
        <is>
          <t>Team Samba</t>
        </is>
      </c>
      <c r="B13" s="10" t="inlineStr">
        <is>
          <t>SDO-8305</t>
        </is>
      </c>
      <c r="C13" s="10" t="inlineStr">
        <is>
          <t>Absent from the mapping CSV entirely</t>
        </is>
      </c>
      <c r="D13" s="10" t="inlineStr">
        <is>
          <t>SDO-5668</t>
        </is>
      </c>
      <c r="E13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2026-08-21T14:04:20Z</dcterms:created>
  <dcterms:modified xsi:type="dcterms:W3CDTF">2026-08-21T14:04:20Z</dcterms:modified>
</cp:coreProperties>
</file>
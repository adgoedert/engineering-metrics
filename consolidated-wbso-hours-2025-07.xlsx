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Detail" sheetId="2" state="visible" r:id="rId2"/>
    <sheet name="By Engineer &amp; Epic" sheetId="3" state="visible" r:id="rId3"/>
    <sheet name="Summary" sheetId="4" state="visible" r:id="rId4"/>
    <sheet name="Diagnostics" sheetId="5" state="visible" r:id="rId5"/>
  </sheets>
  <definedNames>
    <definedName name="_xlnm._FilterDatabase" localSheetId="1" hidden="1">'Detail'!$A$3:$F$37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1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0" borderId="0" pivotButton="0" quotePrefix="0" xfId="0"/>
    <xf numFmtId="164" fontId="4" fillId="3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164" fontId="4" fillId="0" borderId="1" pivotButton="0" quotePrefix="0" xfId="0"/>
    <xf numFmtId="164" fontId="3" fillId="4" borderId="0" pivotButton="0" quotePrefix="0" xfId="0"/>
    <xf numFmtId="0" fontId="5" fillId="0" borderId="0" pivotButton="0" quotePrefix="0" xfId="0"/>
    <xf numFmtId="164" fontId="6" fillId="0" borderId="1" pivotButton="0" quotePrefix="0" xfId="0"/>
    <xf numFmtId="164" fontId="0" fillId="0" borderId="1" pivotButton="0" quotePrefix="0" xfId="0"/>
    <xf numFmtId="0" fontId="4" fillId="0" borderId="1" pivotButton="0" quotePrefix="0" xfId="0"/>
    <xf numFmtId="165" fontId="0" fillId="0" borderId="1" pivotButton="0" quotePrefix="0" xfId="0"/>
    <xf numFmtId="165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4" customWidth="1" min="1" max="1"/>
    <col width="46" customWidth="1" min="2" max="2"/>
  </cols>
  <sheetData>
    <row r="1">
      <c r="A1" s="1" t="inlineStr">
        <is>
          <t>Consolidated WBSO Hours — run parameters</t>
        </is>
      </c>
    </row>
    <row r="3">
      <c r="A3" s="2" t="inlineStr">
        <is>
          <t>Parameter</t>
        </is>
      </c>
      <c r="B3" s="2" t="inlineStr">
        <is>
          <t>Value</t>
        </is>
      </c>
    </row>
    <row r="5">
      <c r="A5" s="3" t="inlineStr">
        <is>
          <t>Hours per engineer per day</t>
        </is>
      </c>
      <c r="B5" s="4" t="n">
        <v>8</v>
      </c>
    </row>
    <row r="6">
      <c r="A6" s="3" t="inlineStr">
        <is>
          <t>Reporting month</t>
        </is>
      </c>
      <c r="B6" s="5" t="inlineStr">
        <is>
          <t>2025-07</t>
        </is>
      </c>
    </row>
    <row r="7">
      <c r="A7" s="3" t="inlineStr">
        <is>
          <t>Team</t>
        </is>
      </c>
      <c r="B7" s="5" t="inlineStr">
        <is>
          <t>Team Horizon</t>
        </is>
      </c>
    </row>
    <row r="8">
      <c r="A8" s="3" t="inlineStr">
        <is>
          <t>Jira project</t>
        </is>
      </c>
      <c r="B8" s="5" t="inlineStr">
        <is>
          <t>SUK</t>
        </is>
      </c>
    </row>
    <row r="9">
      <c r="A9" s="3" t="inlineStr">
        <is>
          <t>Jira board</t>
        </is>
      </c>
      <c r="B9" s="5" t="n">
        <v>20</v>
      </c>
    </row>
    <row r="10">
      <c r="A10" s="3" t="inlineStr">
        <is>
          <t>Epic filter</t>
        </is>
      </c>
      <c r="B10" s="5" t="inlineStr">
        <is>
          <t>WBSO epics flagged for Team Horizon</t>
        </is>
      </c>
    </row>
    <row r="11">
      <c r="A11" s="3" t="inlineStr">
        <is>
          <t>WBSO epics in scope</t>
        </is>
      </c>
      <c r="B11" s="5" t="n">
        <v>13</v>
      </c>
    </row>
    <row r="12">
      <c r="A12" s="3" t="inlineStr">
        <is>
          <t>Mapping CSV</t>
        </is>
      </c>
      <c r="B12" s="5" t="inlineStr">
        <is>
          <t>epics-mapping.csv</t>
        </is>
      </c>
    </row>
    <row r="13">
      <c r="A13" s="3" t="inlineStr">
        <is>
          <t>Generated by</t>
        </is>
      </c>
      <c r="B13" s="5" t="inlineStr">
        <is>
          <t>engineering-metrics / consolidated-wbso-hours</t>
        </is>
      </c>
    </row>
    <row r="15">
      <c r="A15" s="3" t="inlineStr">
        <is>
          <t>Method</t>
        </is>
      </c>
    </row>
    <row r="16" ht="28" customHeight="1">
      <c r="A16" s="6" t="inlineStr">
        <is>
          <t>• A weekday on which an engineer held a ticket while it was In Progress makes that ticket active for them that day.</t>
        </is>
      </c>
    </row>
    <row r="17" ht="28" customHeight="1">
      <c r="A17" s="6" t="inlineStr">
        <is>
          <t>• Each engineer-day is worth at most the hours-per-day figure above, split equally across every ticket active that day.</t>
        </is>
      </c>
    </row>
    <row r="18" ht="28" customHeight="1">
      <c r="A18" s="6" t="inlineStr">
        <is>
          <t>• The split denominator is ALL tickets held that day, including non-WBSO ones. Filtering to WBSO removes rows but never inflates the hours remaining — important for a subsidy claim.</t>
        </is>
      </c>
    </row>
    <row r="19" ht="28" customHeight="1">
      <c r="A19" s="6" t="inlineStr">
        <is>
          <t>• Weekends are excluded. Public holidays are NOT excluded.</t>
        </is>
      </c>
    </row>
    <row r="20" ht="28" customHeight="1">
      <c r="A20" s="6" t="inlineStr">
        <is>
          <t>• Hours on the Detail sheet are computed by the tool from the Jira changelog; they are inputs here, not sheet-derived. Every total above them is a formula.</t>
        </is>
      </c>
    </row>
  </sheetData>
  <mergeCells count="5">
    <mergeCell ref="A20:B20"/>
    <mergeCell ref="A16:B16"/>
    <mergeCell ref="A19:B19"/>
    <mergeCell ref="A17:B17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34" customWidth="1" min="3" max="3"/>
    <col width="14" customWidth="1" min="4" max="4"/>
    <col width="50" customWidth="1" min="5" max="5"/>
    <col width="10" customWidth="1" min="6" max="6"/>
  </cols>
  <sheetData>
    <row r="1">
      <c r="A1" s="1" t="inlineStr">
        <is>
          <t>Per-ticket WBSO hours (input data from Jira)</t>
        </is>
      </c>
    </row>
    <row r="3">
      <c r="A3" s="7" t="inlineStr">
        <is>
          <t>Engineer</t>
        </is>
      </c>
      <c r="B3" s="7" t="inlineStr">
        <is>
          <t>Epic key</t>
        </is>
      </c>
      <c r="C3" s="7" t="inlineStr">
        <is>
          <t>Epic</t>
        </is>
      </c>
      <c r="D3" s="7" t="inlineStr">
        <is>
          <t>Ticket</t>
        </is>
      </c>
      <c r="E3" s="7" t="inlineStr">
        <is>
          <t>Ticket summary</t>
        </is>
      </c>
      <c r="F3" s="7" t="inlineStr">
        <is>
          <t>Hours</t>
        </is>
      </c>
    </row>
    <row r="4">
      <c r="A4" s="8" t="inlineStr">
        <is>
          <t>Ryan Shepherd</t>
        </is>
      </c>
      <c r="B4" s="8" t="inlineStr">
        <is>
          <t>SUK-5337</t>
        </is>
      </c>
      <c r="C4" s="8" t="inlineStr">
        <is>
          <t xml:space="preserve">SUK-5337 VOP EDS Integration Implementation </t>
        </is>
      </c>
      <c r="D4" s="8" t="inlineStr">
        <is>
          <t>SUK-5538</t>
        </is>
      </c>
      <c r="E4" s="8" t="inlineStr">
        <is>
          <t>[EDS-Directory] Analyse &amp; fix missing uris ca</t>
        </is>
      </c>
      <c r="F4" s="9" t="n">
        <v>6</v>
      </c>
    </row>
    <row r="5">
      <c r="A5" s="8" t="inlineStr">
        <is>
          <t>Ryan Shepherd</t>
        </is>
      </c>
      <c r="B5" s="8" t="inlineStr">
        <is>
          <t>SUK-5466</t>
        </is>
      </c>
      <c r="C5" s="8" t="inlineStr">
        <is>
          <t>SUK-5466 VOP Outbound Adaptor</t>
        </is>
      </c>
      <c r="D5" s="8" t="inlineStr">
        <is>
          <t>SUK-5544</t>
        </is>
      </c>
      <c r="E5" s="8" t="inlineStr">
        <is>
          <t>[VOP-Adaptor]Implement logging requirements f</t>
        </is>
      </c>
      <c r="F5" s="9" t="n">
        <v>32</v>
      </c>
    </row>
    <row r="6">
      <c r="A6" s="8" t="inlineStr">
        <is>
          <t>Ryan Shepherd</t>
        </is>
      </c>
      <c r="B6" s="8" t="inlineStr">
        <is>
          <t>SUK-5466</t>
        </is>
      </c>
      <c r="C6" s="8" t="inlineStr">
        <is>
          <t>SUK-5466 VOP Outbound Adaptor</t>
        </is>
      </c>
      <c r="D6" s="8" t="inlineStr">
        <is>
          <t>SUK-5606</t>
        </is>
      </c>
      <c r="E6" s="8" t="inlineStr">
        <is>
          <t>[VOP-Adaptor] Implement timeout on outgoing V</t>
        </is>
      </c>
      <c r="F6" s="9" t="n">
        <v>32</v>
      </c>
    </row>
    <row r="7">
      <c r="A7" s="8" t="inlineStr">
        <is>
          <t>Ryan Shepherd</t>
        </is>
      </c>
      <c r="B7" s="8" t="inlineStr">
        <is>
          <t>SUK-5466</t>
        </is>
      </c>
      <c r="C7" s="8" t="inlineStr">
        <is>
          <t>SUK-5466 VOP Outbound Adaptor</t>
        </is>
      </c>
      <c r="D7" s="8" t="inlineStr">
        <is>
          <t>SUK-5461</t>
        </is>
      </c>
      <c r="E7" s="8" t="inlineStr">
        <is>
          <t>[VOP Adaptor] Request &amp; Response processing f</t>
        </is>
      </c>
      <c r="F7" s="9" t="n">
        <v>24.9333</v>
      </c>
    </row>
    <row r="8">
      <c r="A8" s="8" t="inlineStr">
        <is>
          <t>Ryan Shepherd</t>
        </is>
      </c>
      <c r="B8" s="8" t="inlineStr">
        <is>
          <t>SUK-5466</t>
        </is>
      </c>
      <c r="C8" s="8" t="inlineStr">
        <is>
          <t>SUK-5466 VOP Outbound Adaptor</t>
        </is>
      </c>
      <c r="D8" s="8" t="inlineStr">
        <is>
          <t>SUK-5504</t>
        </is>
      </c>
      <c r="E8" s="8" t="inlineStr">
        <is>
          <t>[VOP Adaptor]Implement SSL connection logic f</t>
        </is>
      </c>
      <c r="F8" s="9" t="n">
        <v>22.6667</v>
      </c>
    </row>
    <row r="9">
      <c r="A9" s="8" t="inlineStr">
        <is>
          <t>Ryan Shepherd</t>
        </is>
      </c>
      <c r="B9" s="8" t="inlineStr">
        <is>
          <t>SUK-5466</t>
        </is>
      </c>
      <c r="C9" s="8" t="inlineStr">
        <is>
          <t>SUK-5466 VOP Outbound Adaptor</t>
        </is>
      </c>
      <c r="D9" s="8" t="inlineStr">
        <is>
          <t>SUK-5540</t>
        </is>
      </c>
      <c r="E9" s="8" t="inlineStr">
        <is>
          <t>Fix type of error returned in VOP adapter: 50</t>
        </is>
      </c>
      <c r="F9" s="9" t="n">
        <v>20.6667</v>
      </c>
    </row>
    <row r="10">
      <c r="A10" s="8" t="inlineStr">
        <is>
          <t>Ryan Shepherd</t>
        </is>
      </c>
      <c r="B10" s="8" t="inlineStr">
        <is>
          <t>SUK-5466</t>
        </is>
      </c>
      <c r="C10" s="8" t="inlineStr">
        <is>
          <t>SUK-5466 VOP Outbound Adaptor</t>
        </is>
      </c>
      <c r="D10" s="8" t="inlineStr">
        <is>
          <t>SUK-5478</t>
        </is>
      </c>
      <c r="E10" s="8" t="inlineStr">
        <is>
          <t xml:space="preserve"> [VOP-Adaptor] Third Party URI Request &amp; Resp</t>
        </is>
      </c>
      <c r="F10" s="9" t="n">
        <v>8.933299999999999</v>
      </c>
    </row>
    <row r="11">
      <c r="A11" s="8" t="inlineStr">
        <is>
          <t>Ryan Shepherd</t>
        </is>
      </c>
      <c r="B11" s="8" t="inlineStr">
        <is>
          <t>SUK-5466</t>
        </is>
      </c>
      <c r="C11" s="8" t="inlineStr">
        <is>
          <t>SUK-5466 VOP Outbound Adaptor</t>
        </is>
      </c>
      <c r="D11" s="8" t="inlineStr">
        <is>
          <t>SUK-5479</t>
        </is>
      </c>
      <c r="E11" s="8" t="inlineStr">
        <is>
          <t>[VOP-Adaptor]Business logic Implementation</t>
        </is>
      </c>
      <c r="F11" s="9" t="n">
        <v>8.933299999999999</v>
      </c>
    </row>
    <row r="12">
      <c r="A12" s="8" t="inlineStr">
        <is>
          <t>Ryan Shepherd</t>
        </is>
      </c>
      <c r="B12" s="8" t="inlineStr">
        <is>
          <t>SUK-5466</t>
        </is>
      </c>
      <c r="C12" s="8" t="inlineStr">
        <is>
          <t>SUK-5466 VOP Outbound Adaptor</t>
        </is>
      </c>
      <c r="D12" s="8" t="inlineStr">
        <is>
          <t>SUK-5498</t>
        </is>
      </c>
      <c r="E12" s="8" t="inlineStr">
        <is>
          <t>[VOP Adaptor] Implement Integration logic for</t>
        </is>
      </c>
      <c r="F12" s="9" t="n">
        <v>6</v>
      </c>
    </row>
    <row r="13">
      <c r="A13" s="8" t="inlineStr">
        <is>
          <t>Ryan Shepherd</t>
        </is>
      </c>
      <c r="B13" s="8" t="inlineStr">
        <is>
          <t>SUK-5466</t>
        </is>
      </c>
      <c r="C13" s="8" t="inlineStr">
        <is>
          <t>SUK-5466 VOP Outbound Adaptor</t>
        </is>
      </c>
      <c r="D13" s="8" t="inlineStr">
        <is>
          <t>SUK-5506</t>
        </is>
      </c>
      <c r="E13" s="8" t="inlineStr">
        <is>
          <t xml:space="preserve">[VOP Adaptor]Use new customer settings table </t>
        </is>
      </c>
      <c r="F13" s="9" t="n">
        <v>3.6</v>
      </c>
    </row>
    <row r="14">
      <c r="A14" s="8" t="inlineStr">
        <is>
          <t>Arpit Dahiya</t>
        </is>
      </c>
      <c r="B14" s="8" t="inlineStr">
        <is>
          <t>SUK-5466</t>
        </is>
      </c>
      <c r="C14" s="8" t="inlineStr">
        <is>
          <t>SUK-5466 VOP Outbound Adaptor</t>
        </is>
      </c>
      <c r="D14" s="8" t="inlineStr">
        <is>
          <t>SUK-5483</t>
        </is>
      </c>
      <c r="E14" s="8" t="inlineStr">
        <is>
          <t>[VOP-Adaptor]Implement cloud watch logging re</t>
        </is>
      </c>
      <c r="F14" s="9" t="n">
        <v>44</v>
      </c>
    </row>
    <row r="15">
      <c r="A15" s="8" t="inlineStr">
        <is>
          <t>Arpit Dahiya</t>
        </is>
      </c>
      <c r="B15" s="8" t="inlineStr">
        <is>
          <t>SUK-5466</t>
        </is>
      </c>
      <c r="C15" s="8" t="inlineStr">
        <is>
          <t>SUK-5466 VOP Outbound Adaptor</t>
        </is>
      </c>
      <c r="D15" s="8" t="inlineStr">
        <is>
          <t>SUK-5544</t>
        </is>
      </c>
      <c r="E15" s="8" t="inlineStr">
        <is>
          <t>[VOP-Adaptor]Implement logging requirements f</t>
        </is>
      </c>
      <c r="F15" s="9" t="n">
        <v>44</v>
      </c>
    </row>
    <row r="16">
      <c r="A16" s="8" t="inlineStr">
        <is>
          <t>Arpit Dahiya</t>
        </is>
      </c>
      <c r="B16" s="8" t="inlineStr">
        <is>
          <t>SUK-5466</t>
        </is>
      </c>
      <c r="C16" s="8" t="inlineStr">
        <is>
          <t>SUK-5466 VOP Outbound Adaptor</t>
        </is>
      </c>
      <c r="D16" s="8" t="inlineStr">
        <is>
          <t>SUK-5540</t>
        </is>
      </c>
      <c r="E16" s="8" t="inlineStr">
        <is>
          <t>Fix type of error returned in VOP adapter: 50</t>
        </is>
      </c>
      <c r="F16" s="9" t="n">
        <v>12</v>
      </c>
    </row>
    <row r="17">
      <c r="A17" s="8" t="inlineStr">
        <is>
          <t>Arpit Dahiya</t>
        </is>
      </c>
      <c r="B17" s="8" t="inlineStr">
        <is>
          <t>SUK-5466</t>
        </is>
      </c>
      <c r="C17" s="8" t="inlineStr">
        <is>
          <t>SUK-5466 VOP Outbound Adaptor</t>
        </is>
      </c>
      <c r="D17" s="8" t="inlineStr">
        <is>
          <t>SUK-5554</t>
        </is>
      </c>
      <c r="E17" s="8" t="inlineStr">
        <is>
          <t>[VOP-Adaptor]Implement logging requirements f</t>
        </is>
      </c>
      <c r="F17" s="9" t="n">
        <v>12</v>
      </c>
    </row>
    <row r="18">
      <c r="A18" s="8" t="inlineStr">
        <is>
          <t>Adorjan Fritz</t>
        </is>
      </c>
      <c r="B18" s="8" t="inlineStr">
        <is>
          <t>SUK-5466</t>
        </is>
      </c>
      <c r="C18" s="8" t="inlineStr">
        <is>
          <t>SUK-5466 VOP Outbound Adaptor</t>
        </is>
      </c>
      <c r="D18" s="8" t="inlineStr">
        <is>
          <t>SUK-5480</t>
        </is>
      </c>
      <c r="E18" s="8" t="inlineStr">
        <is>
          <t>[VOP-Adaptor]Implement Integration tests</t>
        </is>
      </c>
      <c r="F18" s="9" t="n">
        <v>72</v>
      </c>
    </row>
    <row r="19">
      <c r="A19" s="8" t="inlineStr">
        <is>
          <t>Adorjan Fritz</t>
        </is>
      </c>
      <c r="B19" s="8" t="inlineStr">
        <is>
          <t>SUK-5466</t>
        </is>
      </c>
      <c r="C19" s="8" t="inlineStr">
        <is>
          <t>SUK-5466 VOP Outbound Adaptor</t>
        </is>
      </c>
      <c r="D19" s="8" t="inlineStr">
        <is>
          <t>SUK-5542</t>
        </is>
      </c>
      <c r="E19" s="8" t="inlineStr">
        <is>
          <t>[POC] Dynamic mTLS Connection logic with in V</t>
        </is>
      </c>
      <c r="F19" s="9" t="n">
        <v>8</v>
      </c>
    </row>
    <row r="20">
      <c r="A20" s="8" t="inlineStr">
        <is>
          <t>Adorjan Fritz</t>
        </is>
      </c>
      <c r="B20" s="8" t="inlineStr">
        <is>
          <t>SUK-5466</t>
        </is>
      </c>
      <c r="C20" s="8" t="inlineStr">
        <is>
          <t>SUK-5466 VOP Outbound Adaptor</t>
        </is>
      </c>
      <c r="D20" s="8" t="inlineStr">
        <is>
          <t>SUK-5585</t>
        </is>
      </c>
      <c r="E20" s="8" t="inlineStr">
        <is>
          <t>Enable Static Code Analysis - SonarQube + Nex</t>
        </is>
      </c>
      <c r="F20" s="9" t="n">
        <v>8</v>
      </c>
    </row>
    <row r="21">
      <c r="A21" s="8" t="inlineStr">
        <is>
          <t>Adorjan Fritz</t>
        </is>
      </c>
      <c r="B21" s="8" t="inlineStr">
        <is>
          <t>SUK-5578</t>
        </is>
      </c>
      <c r="C21" s="8" t="inlineStr">
        <is>
          <t xml:space="preserve">SUK-5578 VOP Inbound Adaptor </t>
        </is>
      </c>
      <c r="D21" s="8" t="inlineStr">
        <is>
          <t>SUK-5574</t>
        </is>
      </c>
      <c r="E21" s="8" t="inlineStr">
        <is>
          <t>Bootstrap VoP inbound adaptor</t>
        </is>
      </c>
      <c r="F21" s="9" t="n">
        <v>16</v>
      </c>
    </row>
    <row r="22">
      <c r="A22" s="8" t="inlineStr">
        <is>
          <t>Péter Veres</t>
        </is>
      </c>
      <c r="B22" s="8" t="inlineStr">
        <is>
          <t>SUK-5466</t>
        </is>
      </c>
      <c r="C22" s="8" t="inlineStr">
        <is>
          <t>SUK-5466 VOP Outbound Adaptor</t>
        </is>
      </c>
      <c r="D22" s="8" t="inlineStr">
        <is>
          <t>SUK-5545</t>
        </is>
      </c>
      <c r="E22" s="8" t="inlineStr">
        <is>
          <t>[VOP Adaptor] Add health checks to the servic</t>
        </is>
      </c>
      <c r="F22" s="9" t="n">
        <v>24</v>
      </c>
    </row>
    <row r="23">
      <c r="A23" s="8" t="inlineStr">
        <is>
          <t>Péter Veres</t>
        </is>
      </c>
      <c r="B23" s="8" t="inlineStr">
        <is>
          <t>SUK-5466</t>
        </is>
      </c>
      <c r="C23" s="8" t="inlineStr">
        <is>
          <t>SUK-5466 VOP Outbound Adaptor</t>
        </is>
      </c>
      <c r="D23" s="8" t="inlineStr">
        <is>
          <t>SUK-5628</t>
        </is>
      </c>
      <c r="E23" s="8" t="inlineStr">
        <is>
          <t>[vop-outbound-adapter] POC Using RestClient i</t>
        </is>
      </c>
      <c r="F23" s="9" t="n">
        <v>16</v>
      </c>
    </row>
    <row r="24">
      <c r="A24" s="8" t="inlineStr">
        <is>
          <t>Péter Veres</t>
        </is>
      </c>
      <c r="B24" s="8" t="inlineStr">
        <is>
          <t>SUK-5466</t>
        </is>
      </c>
      <c r="C24" s="8" t="inlineStr">
        <is>
          <t>SUK-5466 VOP Outbound Adaptor</t>
        </is>
      </c>
      <c r="D24" s="8" t="inlineStr">
        <is>
          <t>SUK-5583</t>
        </is>
      </c>
      <c r="E24" s="8" t="inlineStr">
        <is>
          <t>VOP-Adaptor: Create Security review template</t>
        </is>
      </c>
      <c r="F24" s="9" t="n">
        <v>8</v>
      </c>
    </row>
    <row r="25">
      <c r="A25" s="8" t="inlineStr">
        <is>
          <t>Prabhukiran Narava</t>
        </is>
      </c>
      <c r="B25" s="8" t="inlineStr">
        <is>
          <t>SUK-5466</t>
        </is>
      </c>
      <c r="C25" s="8" t="inlineStr">
        <is>
          <t>SUK-5466 VOP Outbound Adaptor</t>
        </is>
      </c>
      <c r="D25" s="8" t="inlineStr">
        <is>
          <t>SUK-5570</t>
        </is>
      </c>
      <c r="E25" s="8" t="inlineStr">
        <is>
          <t>[VOP-Adaptor] E2E Test with ART and real resp</t>
        </is>
      </c>
      <c r="F25" s="9" t="n">
        <v>25.3333</v>
      </c>
    </row>
    <row r="26">
      <c r="A26" s="8" t="inlineStr">
        <is>
          <t>Prabhukiran Narava</t>
        </is>
      </c>
      <c r="B26" s="8" t="inlineStr">
        <is>
          <t>SUK-5466</t>
        </is>
      </c>
      <c r="C26" s="8" t="inlineStr">
        <is>
          <t>SUK-5466 VOP Outbound Adaptor</t>
        </is>
      </c>
      <c r="D26" s="8" t="inlineStr">
        <is>
          <t>SUK-5467</t>
        </is>
      </c>
      <c r="E26" s="8" t="inlineStr">
        <is>
          <t>Create a BIC enrichment service(Mock)</t>
        </is>
      </c>
      <c r="F26" s="9" t="n">
        <v>5.3333</v>
      </c>
    </row>
    <row r="27">
      <c r="A27" s="8" t="inlineStr">
        <is>
          <t>Sanjay Chaudhary</t>
        </is>
      </c>
      <c r="B27" s="8" t="inlineStr">
        <is>
          <t>SUK-5337</t>
        </is>
      </c>
      <c r="C27" s="8" t="inlineStr">
        <is>
          <t xml:space="preserve">SUK-5337 VOP EDS Integration Implementation </t>
        </is>
      </c>
      <c r="D27" s="8" t="inlineStr">
        <is>
          <t>SUK-5397</t>
        </is>
      </c>
      <c r="E27" s="8" t="inlineStr">
        <is>
          <t>Global tables creation under eds-directory la</t>
        </is>
      </c>
      <c r="F27" s="9" t="n">
        <v>4.1778</v>
      </c>
    </row>
    <row r="28">
      <c r="A28" s="8" t="inlineStr">
        <is>
          <t>Sanjay Chaudhary</t>
        </is>
      </c>
      <c r="B28" s="8" t="inlineStr">
        <is>
          <t>SUK-5466</t>
        </is>
      </c>
      <c r="C28" s="8" t="inlineStr">
        <is>
          <t>SUK-5466 VOP Outbound Adaptor</t>
        </is>
      </c>
      <c r="D28" s="8" t="inlineStr">
        <is>
          <t>SUK-5484</t>
        </is>
      </c>
      <c r="E28" s="8" t="inlineStr">
        <is>
          <t>[VOP-Adaptor]Create pipelines for VOP adaptor</t>
        </is>
      </c>
      <c r="F28" s="9" t="n">
        <v>10.3717</v>
      </c>
    </row>
    <row r="29">
      <c r="A29" s="8" t="inlineStr">
        <is>
          <t>Sanjay Chaudhary</t>
        </is>
      </c>
      <c r="B29" s="8" t="inlineStr">
        <is>
          <t>SUK-5466</t>
        </is>
      </c>
      <c r="C29" s="8" t="inlineStr">
        <is>
          <t>SUK-5466 VOP Outbound Adaptor</t>
        </is>
      </c>
      <c r="D29" s="8" t="inlineStr">
        <is>
          <t>SUK-5557</t>
        </is>
      </c>
      <c r="E29" s="8" t="inlineStr">
        <is>
          <t>[VOP-Adaptor]Modify VoP adapter pipelines</t>
        </is>
      </c>
      <c r="F29" s="9" t="n">
        <v>4.8</v>
      </c>
    </row>
    <row r="30">
      <c r="A30" s="8" t="inlineStr">
        <is>
          <t>Sanjay Chaudhary</t>
        </is>
      </c>
      <c r="B30" s="8" t="inlineStr">
        <is>
          <t>SUK-5466</t>
        </is>
      </c>
      <c r="C30" s="8" t="inlineStr">
        <is>
          <t>SUK-5466 VOP Outbound Adaptor</t>
        </is>
      </c>
      <c r="D30" s="8" t="inlineStr">
        <is>
          <t>SUK-5576</t>
        </is>
      </c>
      <c r="E30" s="8" t="inlineStr">
        <is>
          <t>[VOP-Adaptor] Update EDS related dynmodb tabl</t>
        </is>
      </c>
      <c r="F30" s="9" t="n">
        <v>3.2162</v>
      </c>
    </row>
    <row r="31">
      <c r="A31" s="8" t="inlineStr">
        <is>
          <t>Sanjay Chaudhary</t>
        </is>
      </c>
      <c r="B31" s="8" t="inlineStr">
        <is>
          <t>SUK-5466</t>
        </is>
      </c>
      <c r="C31" s="8" t="inlineStr">
        <is>
          <t>SUK-5466 VOP Outbound Adaptor</t>
        </is>
      </c>
      <c r="D31" s="8" t="inlineStr">
        <is>
          <t>SUK-5462</t>
        </is>
      </c>
      <c r="E31" s="8" t="inlineStr">
        <is>
          <t>[Infra VOP Outbound Adaptor] Set up infra usi</t>
        </is>
      </c>
      <c r="F31" s="9" t="n">
        <v>2.6</v>
      </c>
    </row>
    <row r="32">
      <c r="A32" s="8" t="inlineStr">
        <is>
          <t>Sanjay Chaudhary</t>
        </is>
      </c>
      <c r="B32" s="8" t="inlineStr">
        <is>
          <t>SUK-5466</t>
        </is>
      </c>
      <c r="C32" s="8" t="inlineStr">
        <is>
          <t>SUK-5466 VOP Outbound Adaptor</t>
        </is>
      </c>
      <c r="D32" s="8" t="inlineStr">
        <is>
          <t>SUK-5505</t>
        </is>
      </c>
      <c r="E32" s="8" t="inlineStr">
        <is>
          <t>[VOP Adaptor]Create new customer settings tab</t>
        </is>
      </c>
      <c r="F32" s="9" t="n">
        <v>2.4162</v>
      </c>
    </row>
    <row r="33">
      <c r="A33" s="8" t="inlineStr">
        <is>
          <t>Sanjay Chaudhary</t>
        </is>
      </c>
      <c r="B33" s="8" t="inlineStr">
        <is>
          <t>SUK-5466</t>
        </is>
      </c>
      <c r="C33" s="8" t="inlineStr">
        <is>
          <t>SUK-5466 VOP Outbound Adaptor</t>
        </is>
      </c>
      <c r="D33" s="8" t="inlineStr">
        <is>
          <t>SUK-5567</t>
        </is>
      </c>
      <c r="E33" s="8" t="inlineStr">
        <is>
          <t>[Vop-Adaptor] Enable Outbound admin proxy for</t>
        </is>
      </c>
      <c r="F33" s="9" t="n">
        <v>2</v>
      </c>
    </row>
    <row r="34">
      <c r="A34" s="8" t="inlineStr">
        <is>
          <t>Julian Mulder</t>
        </is>
      </c>
      <c r="B34" s="8" t="inlineStr">
        <is>
          <t>SUK-5466</t>
        </is>
      </c>
      <c r="C34" s="8" t="inlineStr">
        <is>
          <t>SUK-5466 VOP Outbound Adaptor</t>
        </is>
      </c>
      <c r="D34" s="8" t="inlineStr">
        <is>
          <t>SUK-5482</t>
        </is>
      </c>
      <c r="E34" s="8" t="inlineStr">
        <is>
          <t>[VOP-Adaptor]Infra set up for connecting to v</t>
        </is>
      </c>
      <c r="F34" s="9" t="n">
        <v>8.666700000000001</v>
      </c>
    </row>
    <row r="35">
      <c r="A35" s="8" t="inlineStr">
        <is>
          <t>Julian Mulder</t>
        </is>
      </c>
      <c r="B35" s="8" t="inlineStr">
        <is>
          <t>SUK-5466</t>
        </is>
      </c>
      <c r="C35" s="8" t="inlineStr">
        <is>
          <t>SUK-5466 VOP Outbound Adaptor</t>
        </is>
      </c>
      <c r="D35" s="8" t="inlineStr">
        <is>
          <t>SUK-5498</t>
        </is>
      </c>
      <c r="E35" s="8" t="inlineStr">
        <is>
          <t>[VOP Adaptor] Implement Integration logic for</t>
        </is>
      </c>
      <c r="F35" s="9" t="n">
        <v>8</v>
      </c>
    </row>
    <row r="36">
      <c r="A36" s="8" t="inlineStr">
        <is>
          <t>Julian Mulder</t>
        </is>
      </c>
      <c r="B36" s="8" t="inlineStr">
        <is>
          <t>SUK-5466</t>
        </is>
      </c>
      <c r="C36" s="8" t="inlineStr">
        <is>
          <t>SUK-5466 VOP Outbound Adaptor</t>
        </is>
      </c>
      <c r="D36" s="8" t="inlineStr">
        <is>
          <t>SUK-5501</t>
        </is>
      </c>
      <c r="E36" s="8" t="inlineStr">
        <is>
          <t>[Devops]Infra connection between data provisi</t>
        </is>
      </c>
      <c r="F36" s="9" t="n">
        <v>4</v>
      </c>
    </row>
    <row r="37">
      <c r="A37" s="8" t="inlineStr">
        <is>
          <t>Nikolay Antonov</t>
        </is>
      </c>
      <c r="B37" s="8" t="inlineStr">
        <is>
          <t>SUK-5578</t>
        </is>
      </c>
      <c r="C37" s="8" t="inlineStr">
        <is>
          <t xml:space="preserve">SUK-5578 VOP Inbound Adaptor </t>
        </is>
      </c>
      <c r="D37" s="8" t="inlineStr">
        <is>
          <t>SUK-5575</t>
        </is>
      </c>
      <c r="E37" s="8" t="inlineStr">
        <is>
          <t>[Inbound adaptor] Set up infra using docker/E</t>
        </is>
      </c>
      <c r="F37" s="9" t="n">
        <v>8.901899999999999</v>
      </c>
    </row>
    <row r="39">
      <c r="E39" s="3" t="inlineStr">
        <is>
          <t>TOTAL</t>
        </is>
      </c>
      <c r="F39" s="10">
        <f>SUM(F4:F37)</f>
        <v/>
      </c>
    </row>
  </sheetData>
  <autoFilter ref="A3:F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40" customWidth="1" min="3" max="3"/>
    <col width="12" customWidth="1" min="4" max="4"/>
  </cols>
  <sheetData>
    <row r="1">
      <c r="A1" s="1" t="inlineStr">
        <is>
          <t>WBSO hours per engineer and epic</t>
        </is>
      </c>
    </row>
    <row r="2">
      <c r="A2" s="11" t="inlineStr">
        <is>
          <t>Every Hours cell is a SUMIFS over the Detail sheet.</t>
        </is>
      </c>
    </row>
    <row r="4">
      <c r="A4" s="7" t="inlineStr">
        <is>
          <t>Engineer</t>
        </is>
      </c>
      <c r="B4" s="7" t="inlineStr">
        <is>
          <t>Epic key</t>
        </is>
      </c>
      <c r="C4" s="7" t="inlineStr">
        <is>
          <t>Epic</t>
        </is>
      </c>
      <c r="D4" s="7" t="inlineStr">
        <is>
          <t>Hours</t>
        </is>
      </c>
    </row>
    <row r="5">
      <c r="A5" s="8" t="inlineStr">
        <is>
          <t>Ryan Shepherd</t>
        </is>
      </c>
      <c r="B5" s="8" t="inlineStr">
        <is>
          <t>SUK-5337</t>
        </is>
      </c>
      <c r="C5" s="8" t="inlineStr">
        <is>
          <t xml:space="preserve">SUK-5337 VOP EDS Integration Implementation </t>
        </is>
      </c>
      <c r="D5" s="12">
        <f>SUMIFS(Detail!$F$4:$F$37,Detail!$A$4:$A$37,$A5,Detail!$B$4:$B$37,$B5)</f>
        <v/>
      </c>
    </row>
    <row r="6">
      <c r="A6" s="8" t="inlineStr">
        <is>
          <t>Ryan Shepherd</t>
        </is>
      </c>
      <c r="B6" s="8" t="inlineStr">
        <is>
          <t>SUK-5466</t>
        </is>
      </c>
      <c r="C6" s="8" t="inlineStr">
        <is>
          <t>SUK-5466 VOP Outbound Adaptor</t>
        </is>
      </c>
      <c r="D6" s="12">
        <f>SUMIFS(Detail!$F$4:$F$37,Detail!$A$4:$A$37,$A6,Detail!$B$4:$B$37,$B6)</f>
        <v/>
      </c>
    </row>
    <row r="7">
      <c r="A7" s="8" t="inlineStr">
        <is>
          <t>Arpit Dahiya</t>
        </is>
      </c>
      <c r="B7" s="8" t="inlineStr">
        <is>
          <t>SUK-5466</t>
        </is>
      </c>
      <c r="C7" s="8" t="inlineStr">
        <is>
          <t>SUK-5466 VOP Outbound Adaptor</t>
        </is>
      </c>
      <c r="D7" s="12">
        <f>SUMIFS(Detail!$F$4:$F$37,Detail!$A$4:$A$37,$A7,Detail!$B$4:$B$37,$B7)</f>
        <v/>
      </c>
    </row>
    <row r="8">
      <c r="A8" s="8" t="inlineStr">
        <is>
          <t>Adorjan Fritz</t>
        </is>
      </c>
      <c r="B8" s="8" t="inlineStr">
        <is>
          <t>SUK-5466</t>
        </is>
      </c>
      <c r="C8" s="8" t="inlineStr">
        <is>
          <t>SUK-5466 VOP Outbound Adaptor</t>
        </is>
      </c>
      <c r="D8" s="12">
        <f>SUMIFS(Detail!$F$4:$F$37,Detail!$A$4:$A$37,$A8,Detail!$B$4:$B$37,$B8)</f>
        <v/>
      </c>
    </row>
    <row r="9">
      <c r="A9" s="8" t="inlineStr">
        <is>
          <t>Adorjan Fritz</t>
        </is>
      </c>
      <c r="B9" s="8" t="inlineStr">
        <is>
          <t>SUK-5578</t>
        </is>
      </c>
      <c r="C9" s="8" t="inlineStr">
        <is>
          <t xml:space="preserve">SUK-5578 VOP Inbound Adaptor </t>
        </is>
      </c>
      <c r="D9" s="12">
        <f>SUMIFS(Detail!$F$4:$F$37,Detail!$A$4:$A$37,$A9,Detail!$B$4:$B$37,$B9)</f>
        <v/>
      </c>
    </row>
    <row r="10">
      <c r="A10" s="8" t="inlineStr">
        <is>
          <t>Péter Veres</t>
        </is>
      </c>
      <c r="B10" s="8" t="inlineStr">
        <is>
          <t>SUK-5466</t>
        </is>
      </c>
      <c r="C10" s="8" t="inlineStr">
        <is>
          <t>SUK-5466 VOP Outbound Adaptor</t>
        </is>
      </c>
      <c r="D10" s="12">
        <f>SUMIFS(Detail!$F$4:$F$37,Detail!$A$4:$A$37,$A10,Detail!$B$4:$B$37,$B10)</f>
        <v/>
      </c>
    </row>
    <row r="11">
      <c r="A11" s="8" t="inlineStr">
        <is>
          <t>Prabhukiran Narava</t>
        </is>
      </c>
      <c r="B11" s="8" t="inlineStr">
        <is>
          <t>SUK-5466</t>
        </is>
      </c>
      <c r="C11" s="8" t="inlineStr">
        <is>
          <t>SUK-5466 VOP Outbound Adaptor</t>
        </is>
      </c>
      <c r="D11" s="12">
        <f>SUMIFS(Detail!$F$4:$F$37,Detail!$A$4:$A$37,$A11,Detail!$B$4:$B$37,$B11)</f>
        <v/>
      </c>
    </row>
    <row r="12">
      <c r="A12" s="8" t="inlineStr">
        <is>
          <t>Sanjay Chaudhary</t>
        </is>
      </c>
      <c r="B12" s="8" t="inlineStr">
        <is>
          <t>SUK-5337</t>
        </is>
      </c>
      <c r="C12" s="8" t="inlineStr">
        <is>
          <t xml:space="preserve">SUK-5337 VOP EDS Integration Implementation </t>
        </is>
      </c>
      <c r="D12" s="12">
        <f>SUMIFS(Detail!$F$4:$F$37,Detail!$A$4:$A$37,$A12,Detail!$B$4:$B$37,$B12)</f>
        <v/>
      </c>
    </row>
    <row r="13">
      <c r="A13" s="8" t="inlineStr">
        <is>
          <t>Sanjay Chaudhary</t>
        </is>
      </c>
      <c r="B13" s="8" t="inlineStr">
        <is>
          <t>SUK-5466</t>
        </is>
      </c>
      <c r="C13" s="8" t="inlineStr">
        <is>
          <t>SUK-5466 VOP Outbound Adaptor</t>
        </is>
      </c>
      <c r="D13" s="12">
        <f>SUMIFS(Detail!$F$4:$F$37,Detail!$A$4:$A$37,$A13,Detail!$B$4:$B$37,$B13)</f>
        <v/>
      </c>
    </row>
    <row r="14">
      <c r="A14" s="8" t="inlineStr">
        <is>
          <t>Julian Mulder</t>
        </is>
      </c>
      <c r="B14" s="8" t="inlineStr">
        <is>
          <t>SUK-5466</t>
        </is>
      </c>
      <c r="C14" s="8" t="inlineStr">
        <is>
          <t>SUK-5466 VOP Outbound Adaptor</t>
        </is>
      </c>
      <c r="D14" s="12">
        <f>SUMIFS(Detail!$F$4:$F$37,Detail!$A$4:$A$37,$A14,Detail!$B$4:$B$37,$B14)</f>
        <v/>
      </c>
    </row>
    <row r="15">
      <c r="A15" s="8" t="inlineStr">
        <is>
          <t>Nikolay Antonov</t>
        </is>
      </c>
      <c r="B15" s="8" t="inlineStr">
        <is>
          <t>SUK-5578</t>
        </is>
      </c>
      <c r="C15" s="8" t="inlineStr">
        <is>
          <t xml:space="preserve">SUK-5578 VOP Inbound Adaptor </t>
        </is>
      </c>
      <c r="D15" s="12">
        <f>SUMIFS(Detail!$F$4:$F$37,Detail!$A$4:$A$37,$A15,Detail!$B$4:$B$37,$B15)</f>
        <v/>
      </c>
    </row>
    <row r="17">
      <c r="C17" s="3" t="inlineStr">
        <is>
          <t>TOTAL</t>
        </is>
      </c>
      <c r="D17" s="10">
        <f>SUM(D5:D15)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5" customWidth="1" min="3" max="3"/>
    <col width="12" customWidth="1" min="4" max="4"/>
    <col width="15" customWidth="1" min="5" max="5"/>
    <col width="12" customWidth="1" min="6" max="6"/>
    <col width="17" customWidth="1" min="7" max="7"/>
  </cols>
  <sheetData>
    <row r="1">
      <c r="A1" s="1" t="inlineStr">
        <is>
          <t>WBSO hours per engineer</t>
        </is>
      </c>
    </row>
    <row r="2">
      <c r="A2" s="11" t="inlineStr">
        <is>
          <t>Hours are SUMIFS over Detail. Capacity = active days x hours-per-day (Assumptions!B5). Share = hours / capacity.</t>
        </is>
      </c>
    </row>
    <row r="4">
      <c r="A4" s="7" t="inlineStr">
        <is>
          <t>Engineer</t>
        </is>
      </c>
      <c r="B4" s="7" t="inlineStr">
        <is>
          <t>WBSO hours</t>
        </is>
      </c>
      <c r="C4" s="7" t="inlineStr">
        <is>
          <t>Day equivalent</t>
        </is>
      </c>
      <c r="D4" s="7" t="inlineStr">
        <is>
          <t>Active days</t>
        </is>
      </c>
      <c r="E4" s="7" t="inlineStr">
        <is>
          <t>Capacity hours</t>
        </is>
      </c>
      <c r="F4" s="7" t="inlineStr">
        <is>
          <t>WBSO share</t>
        </is>
      </c>
      <c r="G4" s="7" t="inlineStr">
        <is>
          <t>Peak tickets/day</t>
        </is>
      </c>
    </row>
    <row r="5">
      <c r="A5" s="8" t="inlineStr">
        <is>
          <t>Ryan Shepherd</t>
        </is>
      </c>
      <c r="B5" s="13">
        <f>SUMIFS(Detail!$F$4:$F$37,Detail!$A$4:$A$37,$A5)</f>
        <v/>
      </c>
      <c r="C5" s="13">
        <f>IFERROR($B5/Assumptions!$B$5,0)</f>
        <v/>
      </c>
      <c r="D5" s="14" t="n">
        <v>22</v>
      </c>
      <c r="E5" s="13">
        <f>$D5*Assumptions!$B$5</f>
        <v/>
      </c>
      <c r="F5" s="15">
        <f>IFERROR($B5/$E5,0)</f>
        <v/>
      </c>
      <c r="G5" s="14" t="inlineStr">
        <is>
          <t>5 on 08 Jul</t>
        </is>
      </c>
    </row>
    <row r="6">
      <c r="A6" s="8" t="inlineStr">
        <is>
          <t>Arpit Dahiya</t>
        </is>
      </c>
      <c r="B6" s="13">
        <f>SUMIFS(Detail!$F$4:$F$37,Detail!$A$4:$A$37,$A6)</f>
        <v/>
      </c>
      <c r="C6" s="13">
        <f>IFERROR($B6/Assumptions!$B$5,0)</f>
        <v/>
      </c>
      <c r="D6" s="14" t="n">
        <v>23</v>
      </c>
      <c r="E6" s="13">
        <f>$D6*Assumptions!$B$5</f>
        <v/>
      </c>
      <c r="F6" s="15">
        <f>IFERROR($B6/$E6,0)</f>
        <v/>
      </c>
      <c r="G6" s="14" t="inlineStr">
        <is>
          <t>2 on 30 Jul</t>
        </is>
      </c>
    </row>
    <row r="7">
      <c r="A7" s="8" t="inlineStr">
        <is>
          <t>Adorjan Fritz</t>
        </is>
      </c>
      <c r="B7" s="13">
        <f>SUMIFS(Detail!$F$4:$F$37,Detail!$A$4:$A$37,$A7)</f>
        <v/>
      </c>
      <c r="C7" s="13">
        <f>IFERROR($B7/Assumptions!$B$5,0)</f>
        <v/>
      </c>
      <c r="D7" s="14" t="n">
        <v>14</v>
      </c>
      <c r="E7" s="13">
        <f>$D7*Assumptions!$B$5</f>
        <v/>
      </c>
      <c r="F7" s="15">
        <f>IFERROR($B7/$E7,0)</f>
        <v/>
      </c>
      <c r="G7" s="14" t="inlineStr">
        <is>
          <t>2 on 11 Jul</t>
        </is>
      </c>
    </row>
    <row r="8">
      <c r="A8" s="8" t="inlineStr">
        <is>
          <t>Péter Veres</t>
        </is>
      </c>
      <c r="B8" s="13">
        <f>SUMIFS(Detail!$F$4:$F$37,Detail!$A$4:$A$37,$A8)</f>
        <v/>
      </c>
      <c r="C8" s="13">
        <f>IFERROR($B8/Assumptions!$B$5,0)</f>
        <v/>
      </c>
      <c r="D8" s="14" t="n">
        <v>10</v>
      </c>
      <c r="E8" s="13">
        <f>$D8*Assumptions!$B$5</f>
        <v/>
      </c>
      <c r="F8" s="15">
        <f>IFERROR($B8/$E8,0)</f>
        <v/>
      </c>
      <c r="G8" s="14" t="inlineStr">
        <is>
          <t>1 on 25 Jul</t>
        </is>
      </c>
    </row>
    <row r="9">
      <c r="A9" s="8" t="inlineStr">
        <is>
          <t>Prabhukiran Narava</t>
        </is>
      </c>
      <c r="B9" s="13">
        <f>SUMIFS(Detail!$F$4:$F$37,Detail!$A$4:$A$37,$A9)</f>
        <v/>
      </c>
      <c r="C9" s="13">
        <f>IFERROR($B9/Assumptions!$B$5,0)</f>
        <v/>
      </c>
      <c r="D9" s="14" t="n">
        <v>24</v>
      </c>
      <c r="E9" s="13">
        <f>$D9*Assumptions!$B$5</f>
        <v/>
      </c>
      <c r="F9" s="15">
        <f>IFERROR($B9/$E9,0)</f>
        <v/>
      </c>
      <c r="G9" s="14" t="inlineStr">
        <is>
          <t>4 on 28 Jul</t>
        </is>
      </c>
    </row>
    <row r="10">
      <c r="A10" s="8" t="inlineStr">
        <is>
          <t>Sanjay Chaudhary</t>
        </is>
      </c>
      <c r="B10" s="13">
        <f>SUMIFS(Detail!$F$4:$F$37,Detail!$A$4:$A$37,$A10)</f>
        <v/>
      </c>
      <c r="C10" s="13">
        <f>IFERROR($B10/Assumptions!$B$5,0)</f>
        <v/>
      </c>
      <c r="D10" s="14" t="n">
        <v>24</v>
      </c>
      <c r="E10" s="13">
        <f>$D10*Assumptions!$B$5</f>
        <v/>
      </c>
      <c r="F10" s="15">
        <f>IFERROR($B10/$E10,0)</f>
        <v/>
      </c>
      <c r="G10" s="14" t="inlineStr">
        <is>
          <t>11 on 15 Jul</t>
        </is>
      </c>
    </row>
    <row r="11">
      <c r="A11" s="8" t="inlineStr">
        <is>
          <t>Julian Mulder</t>
        </is>
      </c>
      <c r="B11" s="13">
        <f>SUMIFS(Detail!$F$4:$F$37,Detail!$A$4:$A$37,$A11)</f>
        <v/>
      </c>
      <c r="C11" s="13">
        <f>IFERROR($B11/Assumptions!$B$5,0)</f>
        <v/>
      </c>
      <c r="D11" s="14" t="n">
        <v>23</v>
      </c>
      <c r="E11" s="13">
        <f>$D11*Assumptions!$B$5</f>
        <v/>
      </c>
      <c r="F11" s="15">
        <f>IFERROR($B11/$E11,0)</f>
        <v/>
      </c>
      <c r="G11" s="14" t="inlineStr">
        <is>
          <t>4 on 10 Jul</t>
        </is>
      </c>
    </row>
    <row r="12">
      <c r="A12" s="8" t="inlineStr">
        <is>
          <t>Nikolay Antonov</t>
        </is>
      </c>
      <c r="B12" s="13">
        <f>SUMIFS(Detail!$F$4:$F$37,Detail!$A$4:$A$37,$A12)</f>
        <v/>
      </c>
      <c r="C12" s="13">
        <f>IFERROR($B12/Assumptions!$B$5,0)</f>
        <v/>
      </c>
      <c r="D12" s="14" t="n">
        <v>24</v>
      </c>
      <c r="E12" s="13">
        <f>$D12*Assumptions!$B$5</f>
        <v/>
      </c>
      <c r="F12" s="15">
        <f>IFERROR($B12/$E12,0)</f>
        <v/>
      </c>
      <c r="G12" s="14" t="inlineStr">
        <is>
          <t>11 on 03 Jul</t>
        </is>
      </c>
    </row>
    <row r="14">
      <c r="A14" s="3" t="inlineStr">
        <is>
          <t>TEAM TOTAL</t>
        </is>
      </c>
      <c r="B14" s="10">
        <f>SUM(B5:B12)</f>
        <v/>
      </c>
      <c r="C14" s="10">
        <f>SUM(C5:C12)</f>
        <v/>
      </c>
      <c r="D14" s="10">
        <f>SUM(D5:D12)</f>
        <v/>
      </c>
      <c r="E14" s="10">
        <f>SUM(E5:E12)</f>
        <v/>
      </c>
      <c r="F14" s="16">
        <f>IFERROR($B14/$E14,0)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6" customWidth="1" min="3" max="3"/>
    <col width="52" customWidth="1" min="4" max="4"/>
  </cols>
  <sheetData>
    <row r="1">
      <c r="A1" s="1" t="inlineStr">
        <is>
          <t>Mapping issues found during this run</t>
        </is>
      </c>
    </row>
    <row r="3">
      <c r="A3" s="7" t="inlineStr">
        <is>
          <t>Epic key</t>
        </is>
      </c>
      <c r="B3" s="7" t="inlineStr">
        <is>
          <t>Issue</t>
        </is>
      </c>
      <c r="C3" s="7" t="inlineStr">
        <is>
          <t>Example ticket</t>
        </is>
      </c>
      <c r="D3" s="7" t="inlineStr">
        <is>
          <t>Action</t>
        </is>
      </c>
    </row>
    <row r="4">
      <c r="A4" s="8" t="inlineStr">
        <is>
          <t>SUK-1438</t>
        </is>
      </c>
      <c r="B4" s="8" t="inlineStr">
        <is>
          <t>Absent from the mapping CSV entirely</t>
        </is>
      </c>
      <c r="C4" s="8" t="inlineStr">
        <is>
          <t>SUK-1557</t>
        </is>
      </c>
      <c r="D4" s="8" t="inlineStr">
        <is>
          <t>Treated as non-WBSO. Add a row to the CSV if it should count.</t>
        </is>
      </c>
    </row>
    <row r="5">
      <c r="A5" s="8" t="inlineStr">
        <is>
          <t>SUK-2339</t>
        </is>
      </c>
      <c r="B5" s="8" t="inlineStr">
        <is>
          <t>Absent from the mapping CSV entirely</t>
        </is>
      </c>
      <c r="C5" s="8" t="inlineStr">
        <is>
          <t>SUK-3511</t>
        </is>
      </c>
      <c r="D5" s="8" t="inlineStr">
        <is>
          <t>Treated as non-WBSO. Add a row to the CSV if it should count.</t>
        </is>
      </c>
    </row>
    <row r="6">
      <c r="A6" s="8" t="inlineStr">
        <is>
          <t>SUK-4741</t>
        </is>
      </c>
      <c r="B6" s="8" t="inlineStr">
        <is>
          <t>Absent from the mapping CSV entirely</t>
        </is>
      </c>
      <c r="C6" s="8" t="inlineStr">
        <is>
          <t>SUK-4751</t>
        </is>
      </c>
      <c r="D6" s="8" t="inlineStr">
        <is>
          <t>Treated as non-WBSO. Add a row to the CSV if it should count.</t>
        </is>
      </c>
    </row>
    <row r="7">
      <c r="A7" s="8" t="inlineStr">
        <is>
          <t>SUK-6070</t>
        </is>
      </c>
      <c r="B7" s="8" t="inlineStr">
        <is>
          <t>Absent from the mapping CSV entirely</t>
        </is>
      </c>
      <c r="C7" s="8" t="inlineStr">
        <is>
          <t>SUK-5456</t>
        </is>
      </c>
      <c r="D7" s="8" t="inlineStr">
        <is>
          <t>Treated as non-WBSO. Add a row to the CSV if it should count.</t>
        </is>
      </c>
    </row>
    <row r="8">
      <c r="A8" s="8" t="inlineStr">
        <is>
          <t>SUK-6076</t>
        </is>
      </c>
      <c r="B8" s="8" t="inlineStr">
        <is>
          <t>Absent from the mapping CSV entirely</t>
        </is>
      </c>
      <c r="C8" s="8" t="inlineStr">
        <is>
          <t>SUK-5097</t>
        </is>
      </c>
      <c r="D8" s="8" t="inlineStr">
        <is>
          <t>Treated as non-WBSO. Add a row to the CSV if it should count.</t>
        </is>
      </c>
    </row>
    <row r="9">
      <c r="A9" s="8" t="inlineStr">
        <is>
          <t>SUK-6249</t>
        </is>
      </c>
      <c r="B9" s="8" t="inlineStr">
        <is>
          <t>Absent from the mapping CSV entirely</t>
        </is>
      </c>
      <c r="C9" s="8" t="inlineStr">
        <is>
          <t>SUK-5522</t>
        </is>
      </c>
      <c r="D9" s="8" t="inlineStr">
        <is>
          <t>Treated as non-WBSO. Add a row to the CSV if it should count.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2026-08-21T12:08:32Z</dcterms:created>
  <dcterms:modified xsi:type="dcterms:W3CDTF">2026-08-21T12:08:32Z</dcterms:modified>
</cp:coreProperties>
</file>
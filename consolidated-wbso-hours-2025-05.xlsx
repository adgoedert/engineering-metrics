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Pastel de Portal Team" sheetId="3" state="visible" r:id="rId3"/>
    <sheet name="Platform Team 6" sheetId="4" state="visible" r:id="rId4"/>
    <sheet name="Team Horizon" sheetId="5" state="visible" r:id="rId5"/>
    <sheet name="Team Ikigai" sheetId="6" state="visible" r:id="rId6"/>
    <sheet name="Team Samba" sheetId="7" state="visible" r:id="rId7"/>
    <sheet name="YODA" sheetId="8" state="visible" r:id="rId8"/>
    <sheet name="Detail" sheetId="9" state="visible" r:id="rId9"/>
    <sheet name="Diagnostics" sheetId="10" state="visible" r:id="rId10"/>
  </sheets>
  <definedNames>
    <definedName name="_xlnm._FilterDatabase" localSheetId="1" hidden="1">'Summary'!$A$4:$J$10</definedName>
    <definedName name="_xlnm._FilterDatabase" localSheetId="8" hidden="1">'Detail'!$A$3:$G$97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6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0" fontId="7" fillId="0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Consolidated WBSO Hours — run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5">
      <c r="A5" s="3" t="inlineStr">
        <is>
          <t>Hours per engineer per day</t>
        </is>
      </c>
      <c r="B5" s="4" t="n">
        <v>8</v>
      </c>
    </row>
    <row r="6">
      <c r="A6" s="3" t="inlineStr">
        <is>
          <t>Reporting month</t>
        </is>
      </c>
      <c r="B6" s="5" t="inlineStr">
        <is>
          <t>2025-05</t>
        </is>
      </c>
    </row>
    <row r="7">
      <c r="A7" s="3" t="inlineStr">
        <is>
          <t>Teams in scope</t>
        </is>
      </c>
      <c r="B7" s="5" t="n">
        <v>6</v>
      </c>
    </row>
    <row r="8">
      <c r="A8" s="3" t="inlineStr">
        <is>
          <t>Teams with WBSO hours</t>
        </is>
      </c>
      <c r="B8" s="5" t="n">
        <v>5</v>
      </c>
    </row>
    <row r="9">
      <c r="A9" s="3" t="inlineStr">
        <is>
          <t>Epic filter</t>
        </is>
      </c>
      <c r="B9" s="5" t="inlineStr">
        <is>
          <t>WBSO epics flagged for each team</t>
        </is>
      </c>
    </row>
    <row r="10">
      <c r="A10" s="3" t="inlineStr">
        <is>
          <t>Mapping CSV</t>
        </is>
      </c>
      <c r="B10" s="5" t="inlineStr">
        <is>
          <t>epics-mapping.csv</t>
        </is>
      </c>
    </row>
    <row r="11">
      <c r="A11" s="3" t="inlineStr">
        <is>
          <t>Generated by</t>
        </is>
      </c>
      <c r="B11" s="5" t="inlineStr">
        <is>
          <t>engineering-metrics / consolidated-wbso-hours</t>
        </is>
      </c>
    </row>
    <row r="13">
      <c r="A13" s="6" t="inlineStr">
        <is>
          <t>Method</t>
        </is>
      </c>
    </row>
    <row r="14" ht="28" customHeight="1">
      <c r="A14" s="7" t="inlineStr">
        <is>
          <t>• A weekday on which an engineer held a ticket while it was In Progress makes that ticket active for them that day.</t>
        </is>
      </c>
    </row>
    <row r="15" ht="28" customHeight="1">
      <c r="A15" s="7" t="inlineStr">
        <is>
          <t>• Each engineer-day is worth at most the hours-per-day figure above, split equally across every ticket active that day.</t>
        </is>
      </c>
    </row>
    <row r="16" ht="28" customHeight="1">
      <c r="A16" s="7" t="inlineStr">
        <is>
          <t>• The split denominator is ALL tickets held that day, including non-WBSO ones. Filtering to WBSO removes rows but never inflates the hours remaining — important for a subsidy claim.</t>
        </is>
      </c>
    </row>
    <row r="17" ht="28" customHeight="1">
      <c r="A17" s="7" t="inlineStr">
        <is>
          <t>• An engineer working for two teams in the month is counted under each, so team capacity figures do not sum to a person-month.</t>
        </is>
      </c>
    </row>
    <row r="18" ht="28" customHeight="1">
      <c r="A18" s="7" t="inlineStr">
        <is>
          <t>• Weekends are excluded. Public holidays are NOT excluded.</t>
        </is>
      </c>
    </row>
    <row r="19" ht="28" customHeight="1">
      <c r="A19" s="7" t="inlineStr">
        <is>
          <t>• Hours on the Detail sheet are computed by the tool from the Jira changelog; they are inputs here, not sheet-derived. Every total above them is a formula.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WBSO hours per team</t>
        </is>
      </c>
    </row>
    <row r="2">
      <c r="A2" s="8" t="inlineStr">
        <is>
          <t>Hours are SUMIFS over Detail. Capacity = active engineer-days x hours-per-day (Assumptions!B5).</t>
        </is>
      </c>
    </row>
    <row r="4">
      <c r="A4" s="9" t="inlineStr">
        <is>
          <t>Team</t>
        </is>
      </c>
      <c r="B4" s="9" t="inlineStr">
        <is>
          <t>Jira key</t>
        </is>
      </c>
      <c r="C4" s="9" t="inlineStr">
        <is>
          <t>Sheet</t>
        </is>
      </c>
      <c r="D4" s="9" t="inlineStr">
        <is>
          <t>Engineers</t>
        </is>
      </c>
      <c r="E4" s="9" t="inlineStr">
        <is>
          <t>WBSO epics</t>
        </is>
      </c>
      <c r="F4" s="9" t="inlineStr">
        <is>
          <t>WBSO hours</t>
        </is>
      </c>
      <c r="G4" s="9" t="inlineStr">
        <is>
          <t>Active eng-days</t>
        </is>
      </c>
      <c r="H4" s="9" t="inlineStr">
        <is>
          <t>Capacity hours</t>
        </is>
      </c>
      <c r="I4" s="9" t="inlineStr">
        <is>
          <t>WBSO share</t>
        </is>
      </c>
      <c r="J4" s="9" t="inlineStr">
        <is>
          <t>Status</t>
        </is>
      </c>
    </row>
    <row r="5">
      <c r="A5" s="10" t="inlineStr">
        <is>
          <t>Pastel de Portal Team</t>
        </is>
      </c>
      <c r="B5" s="10" t="inlineStr">
        <is>
          <t>PT</t>
        </is>
      </c>
      <c r="C5" s="10" t="inlineStr">
        <is>
          <t>Pastel de Portal Team</t>
        </is>
      </c>
      <c r="D5" s="11" t="n">
        <v>7</v>
      </c>
      <c r="E5" s="11" t="n">
        <v>6</v>
      </c>
      <c r="F5" s="12">
        <f>SUMIFS(Detail!$G$4:$G$97,Detail!$A$4:$A$97,$A5)</f>
        <v/>
      </c>
      <c r="G5" s="11" t="n">
        <v>132</v>
      </c>
      <c r="H5" s="12">
        <f>$G5*Assumptions!$B$5</f>
        <v/>
      </c>
      <c r="I5" s="13">
        <f>IFERROR($F5/$H5,0)</f>
        <v/>
      </c>
      <c r="J5" s="10" t="inlineStr">
        <is>
          <t>174.8h across 7 engineer(s)</t>
        </is>
      </c>
    </row>
    <row r="6">
      <c r="A6" s="10" t="inlineStr">
        <is>
          <t>Platform Team 6</t>
        </is>
      </c>
      <c r="B6" s="10" t="inlineStr">
        <is>
          <t>PT6</t>
        </is>
      </c>
      <c r="C6" s="10" t="inlineStr">
        <is>
          <t>Platform Team 6</t>
        </is>
      </c>
      <c r="D6" s="11" t="n">
        <v>5</v>
      </c>
      <c r="E6" s="11" t="n">
        <v>5</v>
      </c>
      <c r="F6" s="12" t="n">
        <v>0</v>
      </c>
      <c r="G6" s="11" t="n">
        <v>101</v>
      </c>
      <c r="H6" s="12">
        <f>$G6*Assumptions!$B$5</f>
        <v/>
      </c>
      <c r="I6" s="13">
        <f>IFERROR($F6/$H6,0)</f>
        <v/>
      </c>
      <c r="J6" s="14" t="inlineStr">
        <is>
          <t>34 ticket(s) had hours, but all 34 were filtered out as non-WBSO</t>
        </is>
      </c>
    </row>
    <row r="7">
      <c r="A7" s="10" t="inlineStr">
        <is>
          <t>Team Horizon</t>
        </is>
      </c>
      <c r="B7" s="10" t="inlineStr">
        <is>
          <t>SUK</t>
        </is>
      </c>
      <c r="C7" s="10" t="inlineStr">
        <is>
          <t>Team Horizon</t>
        </is>
      </c>
      <c r="D7" s="11" t="n">
        <v>12</v>
      </c>
      <c r="E7" s="11" t="n">
        <v>13</v>
      </c>
      <c r="F7" s="12">
        <f>SUMIFS(Detail!$G$4:$G$97,Detail!$A$4:$A$97,$A7)</f>
        <v/>
      </c>
      <c r="G7" s="11" t="n">
        <v>256</v>
      </c>
      <c r="H7" s="12">
        <f>$G7*Assumptions!$B$5</f>
        <v/>
      </c>
      <c r="I7" s="13">
        <f>IFERROR($F7/$H7,0)</f>
        <v/>
      </c>
      <c r="J7" s="10" t="inlineStr">
        <is>
          <t>279.3h across 12 engineer(s)</t>
        </is>
      </c>
    </row>
    <row r="8">
      <c r="A8" s="10" t="inlineStr">
        <is>
          <t>Team Ikigai</t>
        </is>
      </c>
      <c r="B8" s="10" t="inlineStr">
        <is>
          <t>SPD</t>
        </is>
      </c>
      <c r="C8" s="10" t="inlineStr">
        <is>
          <t>Team Ikigai</t>
        </is>
      </c>
      <c r="D8" s="11" t="n">
        <v>10</v>
      </c>
      <c r="E8" s="11" t="n">
        <v>25</v>
      </c>
      <c r="F8" s="12">
        <f>SUMIFS(Detail!$G$4:$G$97,Detail!$A$4:$A$97,$A8)</f>
        <v/>
      </c>
      <c r="G8" s="11" t="n">
        <v>200</v>
      </c>
      <c r="H8" s="12">
        <f>$G8*Assumptions!$B$5</f>
        <v/>
      </c>
      <c r="I8" s="13">
        <f>IFERROR($F8/$H8,0)</f>
        <v/>
      </c>
      <c r="J8" s="10" t="inlineStr">
        <is>
          <t>1429.7h across 10 engineer(s)</t>
        </is>
      </c>
    </row>
    <row r="9">
      <c r="A9" s="10" t="inlineStr">
        <is>
          <t>Team Samba</t>
        </is>
      </c>
      <c r="B9" s="10" t="inlineStr">
        <is>
          <t>SDO</t>
        </is>
      </c>
      <c r="C9" s="10" t="inlineStr">
        <is>
          <t>Team Samba</t>
        </is>
      </c>
      <c r="D9" s="11" t="n">
        <v>9</v>
      </c>
      <c r="E9" s="11" t="n">
        <v>18</v>
      </c>
      <c r="F9" s="12">
        <f>SUMIFS(Detail!$G$4:$G$97,Detail!$A$4:$A$97,$A9)</f>
        <v/>
      </c>
      <c r="G9" s="11" t="n">
        <v>166</v>
      </c>
      <c r="H9" s="12">
        <f>$G9*Assumptions!$B$5</f>
        <v/>
      </c>
      <c r="I9" s="13">
        <f>IFERROR($F9/$H9,0)</f>
        <v/>
      </c>
      <c r="J9" s="10" t="inlineStr">
        <is>
          <t>332.0h across 9 engineer(s)</t>
        </is>
      </c>
    </row>
    <row r="10">
      <c r="A10" s="10" t="inlineStr">
        <is>
          <t>YODA</t>
        </is>
      </c>
      <c r="B10" s="10" t="inlineStr">
        <is>
          <t>YODA</t>
        </is>
      </c>
      <c r="C10" s="10" t="inlineStr">
        <is>
          <t>YODA</t>
        </is>
      </c>
      <c r="D10" s="11" t="n">
        <v>4</v>
      </c>
      <c r="E10" s="11" t="n">
        <v>29</v>
      </c>
      <c r="F10" s="12">
        <f>SUMIFS(Detail!$G$4:$G$97,Detail!$A$4:$A$97,$A10)</f>
        <v/>
      </c>
      <c r="G10" s="11" t="n">
        <v>58</v>
      </c>
      <c r="H10" s="12">
        <f>$G10*Assumptions!$B$5</f>
        <v/>
      </c>
      <c r="I10" s="13">
        <f>IFERROR($F10/$H10,0)</f>
        <v/>
      </c>
      <c r="J10" s="10" t="inlineStr">
        <is>
          <t>265.3h across 4 engineer(s)</t>
        </is>
      </c>
    </row>
    <row r="12">
      <c r="A12" s="3" t="inlineStr">
        <is>
          <t>ALL TEAMS</t>
        </is>
      </c>
      <c r="D12" s="15">
        <f>SUM(D5:D10)</f>
        <v/>
      </c>
      <c r="E12" s="15">
        <f>SUM(E5:E10)</f>
        <v/>
      </c>
      <c r="F12" s="16">
        <f>SUM(F5:F10)</f>
        <v/>
      </c>
      <c r="G12" s="15">
        <f>SUM(G5:G10)</f>
        <v/>
      </c>
      <c r="H12" s="16">
        <f>SUM(H5:H10)</f>
        <v/>
      </c>
      <c r="I12" s="17">
        <f>IFERROR($F12/$H12,0)</f>
        <v/>
      </c>
    </row>
  </sheetData>
  <autoFilter ref="A4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Pastel de Portal Team — WBSO hours, 2025-05</t>
        </is>
      </c>
    </row>
    <row r="2">
      <c r="A2" s="5" t="inlineStr">
        <is>
          <t>Pastel de Portal Team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Vitor Fernandes</t>
        </is>
      </c>
      <c r="B5" s="10" t="inlineStr">
        <is>
          <t>PT-54</t>
        </is>
      </c>
      <c r="C5" s="10" t="inlineStr">
        <is>
          <t>PT-54 VOP File Check</t>
        </is>
      </c>
      <c r="D5" s="12">
        <f>SUMIFS(Detail!$G$4:$G$97,Detail!$A$4:$A$97,$A$2,Detail!$B$4:$B$97,$A5,Detail!$C$4:$C$97,$B5)</f>
        <v/>
      </c>
    </row>
    <row r="6">
      <c r="A6" s="10" t="inlineStr">
        <is>
          <t>Rafael Santos</t>
        </is>
      </c>
      <c r="B6" s="10" t="inlineStr">
        <is>
          <t>PT-54</t>
        </is>
      </c>
      <c r="C6" s="10" t="inlineStr">
        <is>
          <t>PT-54 VOP File Check</t>
        </is>
      </c>
      <c r="D6" s="12">
        <f>SUMIFS(Detail!$G$4:$G$97,Detail!$A$4:$A$97,$A$2,Detail!$B$4:$B$97,$A6,Detail!$C$4:$C$97,$B6)</f>
        <v/>
      </c>
    </row>
    <row r="7">
      <c r="A7" s="10" t="inlineStr">
        <is>
          <t>gustavo.palminha</t>
        </is>
      </c>
      <c r="B7" s="10" t="inlineStr">
        <is>
          <t>PT-22</t>
        </is>
      </c>
      <c r="C7" s="10" t="inlineStr">
        <is>
          <t>PT-22 VOP Single Check</t>
        </is>
      </c>
      <c r="D7" s="12">
        <f>SUMIFS(Detail!$G$4:$G$97,Detail!$A$4:$A$97,$A$2,Detail!$B$4:$B$97,$A7,Detail!$C$4:$C$97,$B7)</f>
        <v/>
      </c>
    </row>
    <row r="8">
      <c r="A8" s="10" t="inlineStr">
        <is>
          <t>gustavo.palminha</t>
        </is>
      </c>
      <c r="B8" s="10" t="inlineStr">
        <is>
          <t>PT-54</t>
        </is>
      </c>
      <c r="C8" s="10" t="inlineStr">
        <is>
          <t>PT-54 VOP File Check</t>
        </is>
      </c>
      <c r="D8" s="12">
        <f>SUMIFS(Detail!$G$4:$G$97,Detail!$A$4:$A$97,$A$2,Detail!$B$4:$B$97,$A8,Detail!$C$4:$C$97,$B8)</f>
        <v/>
      </c>
    </row>
    <row r="9">
      <c r="A9" s="10" t="inlineStr">
        <is>
          <t>Joost Vos</t>
        </is>
      </c>
      <c r="B9" s="10" t="inlineStr">
        <is>
          <t>PT-22</t>
        </is>
      </c>
      <c r="C9" s="10" t="inlineStr">
        <is>
          <t>PT-22 VOP Single Check</t>
        </is>
      </c>
      <c r="D9" s="12">
        <f>SUMIFS(Detail!$G$4:$G$97,Detail!$A$4:$A$97,$A$2,Detail!$B$4:$B$97,$A9,Detail!$C$4:$C$97,$B9)</f>
        <v/>
      </c>
    </row>
    <row r="10">
      <c r="A10" s="10" t="inlineStr">
        <is>
          <t>alan.silva</t>
        </is>
      </c>
      <c r="B10" s="10" t="inlineStr">
        <is>
          <t>PT-54</t>
        </is>
      </c>
      <c r="C10" s="10" t="inlineStr">
        <is>
          <t>PT-54 VOP File Check</t>
        </is>
      </c>
      <c r="D10" s="12">
        <f>SUMIFS(Detail!$G$4:$G$97,Detail!$A$4:$A$97,$A$2,Detail!$B$4:$B$97,$A10,Detail!$C$4:$C$97,$B10)</f>
        <v/>
      </c>
    </row>
    <row r="11">
      <c r="A11" s="18" t="n"/>
      <c r="B11" s="18" t="n"/>
      <c r="C11" s="19" t="inlineStr">
        <is>
          <t>TEAM TOTAL</t>
        </is>
      </c>
      <c r="D11" s="20">
        <f>SUM(D5:D10)</f>
        <v/>
      </c>
    </row>
    <row r="14">
      <c r="A14" s="6" t="inlineStr">
        <is>
          <t>Per engineer</t>
        </is>
      </c>
    </row>
    <row r="15">
      <c r="A15" s="9" t="inlineStr">
        <is>
          <t>Engineer</t>
        </is>
      </c>
      <c r="B15" s="9" t="inlineStr">
        <is>
          <t>WBSO hours</t>
        </is>
      </c>
      <c r="C15" s="9" t="inlineStr">
        <is>
          <t>Day equivalent</t>
        </is>
      </c>
      <c r="D15" s="9" t="inlineStr">
        <is>
          <t>Active days</t>
        </is>
      </c>
      <c r="E15" s="9" t="inlineStr">
        <is>
          <t>Capacity hours</t>
        </is>
      </c>
      <c r="F15" s="9" t="inlineStr">
        <is>
          <t>WBSO share</t>
        </is>
      </c>
      <c r="G15" s="9" t="inlineStr">
        <is>
          <t>Peak tickets/day</t>
        </is>
      </c>
    </row>
    <row r="16">
      <c r="A16" s="10" t="inlineStr">
        <is>
          <t>Vitor Fernandes</t>
        </is>
      </c>
      <c r="B16" s="12">
        <f>SUMIFS(Detail!$G$4:$G$97,Detail!$A$4:$A$97,$A$2,Detail!$B$4:$B$97,$A16)</f>
        <v/>
      </c>
      <c r="C16" s="12">
        <f>IFERROR($B16/Assumptions!$B$5,0)</f>
        <v/>
      </c>
      <c r="D16" s="11" t="n">
        <v>22</v>
      </c>
      <c r="E16" s="12">
        <f>$D16*Assumptions!$B$5</f>
        <v/>
      </c>
      <c r="F16" s="13">
        <f>IFERROR($B16/$E16,0)</f>
        <v/>
      </c>
      <c r="G16" s="11" t="inlineStr">
        <is>
          <t>5 on 15 May</t>
        </is>
      </c>
    </row>
    <row r="17">
      <c r="A17" s="10" t="inlineStr">
        <is>
          <t>Rafael Santos</t>
        </is>
      </c>
      <c r="B17" s="12">
        <f>SUMIFS(Detail!$G$4:$G$97,Detail!$A$4:$A$97,$A$2,Detail!$B$4:$B$97,$A17)</f>
        <v/>
      </c>
      <c r="C17" s="12">
        <f>IFERROR($B17/Assumptions!$B$5,0)</f>
        <v/>
      </c>
      <c r="D17" s="11" t="n">
        <v>18</v>
      </c>
      <c r="E17" s="12">
        <f>$D17*Assumptions!$B$5</f>
        <v/>
      </c>
      <c r="F17" s="13">
        <f>IFERROR($B17/$E17,0)</f>
        <v/>
      </c>
      <c r="G17" s="11" t="inlineStr">
        <is>
          <t>8 on 07 May</t>
        </is>
      </c>
    </row>
    <row r="18">
      <c r="A18" s="10" t="inlineStr">
        <is>
          <t>gustavo.palminha</t>
        </is>
      </c>
      <c r="B18" s="12">
        <f>SUMIFS(Detail!$G$4:$G$97,Detail!$A$4:$A$97,$A$2,Detail!$B$4:$B$97,$A18)</f>
        <v/>
      </c>
      <c r="C18" s="12">
        <f>IFERROR($B18/Assumptions!$B$5,0)</f>
        <v/>
      </c>
      <c r="D18" s="11" t="n">
        <v>22</v>
      </c>
      <c r="E18" s="12">
        <f>$D18*Assumptions!$B$5</f>
        <v/>
      </c>
      <c r="F18" s="13">
        <f>IFERROR($B18/$E18,0)</f>
        <v/>
      </c>
      <c r="G18" s="11" t="inlineStr">
        <is>
          <t>5 on 12 May</t>
        </is>
      </c>
    </row>
    <row r="19">
      <c r="A19" s="10" t="inlineStr">
        <is>
          <t>Joost Vos</t>
        </is>
      </c>
      <c r="B19" s="12">
        <f>SUMIFS(Detail!$G$4:$G$97,Detail!$A$4:$A$97,$A$2,Detail!$B$4:$B$97,$A19)</f>
        <v/>
      </c>
      <c r="C19" s="12">
        <f>IFERROR($B19/Assumptions!$B$5,0)</f>
        <v/>
      </c>
      <c r="D19" s="11" t="n">
        <v>22</v>
      </c>
      <c r="E19" s="12">
        <f>$D19*Assumptions!$B$5</f>
        <v/>
      </c>
      <c r="F19" s="13">
        <f>IFERROR($B19/$E19,0)</f>
        <v/>
      </c>
      <c r="G19" s="11" t="inlineStr">
        <is>
          <t>7 on 28 May</t>
        </is>
      </c>
    </row>
    <row r="20">
      <c r="A20" s="10" t="inlineStr">
        <is>
          <t>alan.silva</t>
        </is>
      </c>
      <c r="B20" s="12">
        <f>SUMIFS(Detail!$G$4:$G$97,Detail!$A$4:$A$97,$A$2,Detail!$B$4:$B$97,$A20)</f>
        <v/>
      </c>
      <c r="C20" s="12">
        <f>IFERROR($B20/Assumptions!$B$5,0)</f>
        <v/>
      </c>
      <c r="D20" s="11" t="n">
        <v>17</v>
      </c>
      <c r="E20" s="12">
        <f>$D20*Assumptions!$B$5</f>
        <v/>
      </c>
      <c r="F20" s="13">
        <f>IFERROR($B20/$E20,0)</f>
        <v/>
      </c>
      <c r="G20" s="11" t="inlineStr">
        <is>
          <t>5 on 12 May</t>
        </is>
      </c>
    </row>
    <row r="21">
      <c r="A21" s="3" t="inlineStr">
        <is>
          <t>TOTAL</t>
        </is>
      </c>
      <c r="B21" s="16">
        <f>SUM(B16:B20)</f>
        <v/>
      </c>
      <c r="C21" s="16">
        <f>SUM(C16:C20)</f>
        <v/>
      </c>
      <c r="D21" s="16">
        <f>SUM(D16:D20)</f>
        <v/>
      </c>
      <c r="E21" s="16">
        <f>SUM(E16:E20)</f>
        <v/>
      </c>
      <c r="F21" s="17">
        <f>IFERROR($B21/$E21,0)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3" max="3"/>
  </cols>
  <sheetData>
    <row r="1">
      <c r="A1" s="1" t="inlineStr">
        <is>
          <t>Platform Team 6 — WBSO hours, 2025-05</t>
        </is>
      </c>
    </row>
    <row r="2">
      <c r="A2" s="5" t="inlineStr">
        <is>
          <t>Platform Team 6</t>
        </is>
      </c>
      <c r="C2" s="8" t="inlineStr">
        <is>
          <t>^ SUMIFS key for this sheet; must match the Team column on Detail.</t>
        </is>
      </c>
    </row>
    <row r="4">
      <c r="A4" s="21" t="inlineStr">
        <is>
          <t>34 ticket(s) had hours, but all 34 were filtered out as non-WBSO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Horizon — WBSO hours, 2025-05</t>
        </is>
      </c>
    </row>
    <row r="2">
      <c r="A2" s="5" t="inlineStr">
        <is>
          <t>Team Horizon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Ryan Shepherd</t>
        </is>
      </c>
      <c r="B5" s="10" t="inlineStr">
        <is>
          <t>SUK-5337</t>
        </is>
      </c>
      <c r="C5" s="10" t="inlineStr">
        <is>
          <t xml:space="preserve">SUK-5337 VOP EDS Integration Implementation </t>
        </is>
      </c>
      <c r="D5" s="12">
        <f>SUMIFS(Detail!$G$4:$G$97,Detail!$A$4:$A$97,$A$2,Detail!$B$4:$B$97,$A5,Detail!$C$4:$C$97,$B5)</f>
        <v/>
      </c>
    </row>
    <row r="6">
      <c r="A6" s="10" t="inlineStr">
        <is>
          <t>Julian Mulder</t>
        </is>
      </c>
      <c r="B6" s="10" t="inlineStr">
        <is>
          <t>SUK-5337</t>
        </is>
      </c>
      <c r="C6" s="10" t="inlineStr">
        <is>
          <t xml:space="preserve">SUK-5337 VOP EDS Integration Implementation </t>
        </is>
      </c>
      <c r="D6" s="12">
        <f>SUMIFS(Detail!$G$4:$G$97,Detail!$A$4:$A$97,$A$2,Detail!$B$4:$B$97,$A6,Detail!$C$4:$C$97,$B6)</f>
        <v/>
      </c>
    </row>
    <row r="7">
      <c r="A7" s="10" t="inlineStr">
        <is>
          <t>Prabhukiran Narava</t>
        </is>
      </c>
      <c r="B7" s="10" t="inlineStr">
        <is>
          <t>SUK-5337</t>
        </is>
      </c>
      <c r="C7" s="10" t="inlineStr">
        <is>
          <t xml:space="preserve">SUK-5337 VOP EDS Integration Implementation </t>
        </is>
      </c>
      <c r="D7" s="12">
        <f>SUMIFS(Detail!$G$4:$G$97,Detail!$A$4:$A$97,$A$2,Detail!$B$4:$B$97,$A7,Detail!$C$4:$C$97,$B7)</f>
        <v/>
      </c>
    </row>
    <row r="8">
      <c r="A8" s="10" t="inlineStr">
        <is>
          <t>Santosh Kotkar</t>
        </is>
      </c>
      <c r="B8" s="10" t="inlineStr">
        <is>
          <t>SUK-5337</t>
        </is>
      </c>
      <c r="C8" s="10" t="inlineStr">
        <is>
          <t xml:space="preserve">SUK-5337 VOP EDS Integration Implementation </t>
        </is>
      </c>
      <c r="D8" s="12">
        <f>SUMIFS(Detail!$G$4:$G$97,Detail!$A$4:$A$97,$A$2,Detail!$B$4:$B$97,$A8,Detail!$C$4:$C$97,$B8)</f>
        <v/>
      </c>
    </row>
    <row r="9">
      <c r="A9" s="10" t="inlineStr">
        <is>
          <t>Sanjay Chaudhary</t>
        </is>
      </c>
      <c r="B9" s="10" t="inlineStr">
        <is>
          <t>SUK-5337</t>
        </is>
      </c>
      <c r="C9" s="10" t="inlineStr">
        <is>
          <t xml:space="preserve">SUK-5337 VOP EDS Integration Implementation </t>
        </is>
      </c>
      <c r="D9" s="12">
        <f>SUMIFS(Detail!$G$4:$G$97,Detail!$A$4:$A$97,$A$2,Detail!$B$4:$B$97,$A9,Detail!$C$4:$C$97,$B9)</f>
        <v/>
      </c>
    </row>
    <row r="10">
      <c r="A10" s="10" t="inlineStr">
        <is>
          <t>Nikolay Antonov</t>
        </is>
      </c>
      <c r="B10" s="10" t="inlineStr">
        <is>
          <t>SUK-5337</t>
        </is>
      </c>
      <c r="C10" s="10" t="inlineStr">
        <is>
          <t xml:space="preserve">SUK-5337 VOP EDS Integration Implementation </t>
        </is>
      </c>
      <c r="D10" s="12">
        <f>SUMIFS(Detail!$G$4:$G$97,Detail!$A$4:$A$97,$A$2,Detail!$B$4:$B$97,$A10,Detail!$C$4:$C$97,$B10)</f>
        <v/>
      </c>
    </row>
    <row r="11">
      <c r="A11" s="18" t="n"/>
      <c r="B11" s="18" t="n"/>
      <c r="C11" s="19" t="inlineStr">
        <is>
          <t>TEAM TOTAL</t>
        </is>
      </c>
      <c r="D11" s="20">
        <f>SUM(D5:D10)</f>
        <v/>
      </c>
    </row>
    <row r="14">
      <c r="A14" s="6" t="inlineStr">
        <is>
          <t>Per engineer</t>
        </is>
      </c>
    </row>
    <row r="15">
      <c r="A15" s="9" t="inlineStr">
        <is>
          <t>Engineer</t>
        </is>
      </c>
      <c r="B15" s="9" t="inlineStr">
        <is>
          <t>WBSO hours</t>
        </is>
      </c>
      <c r="C15" s="9" t="inlineStr">
        <is>
          <t>Day equivalent</t>
        </is>
      </c>
      <c r="D15" s="9" t="inlineStr">
        <is>
          <t>Active days</t>
        </is>
      </c>
      <c r="E15" s="9" t="inlineStr">
        <is>
          <t>Capacity hours</t>
        </is>
      </c>
      <c r="F15" s="9" t="inlineStr">
        <is>
          <t>WBSO share</t>
        </is>
      </c>
      <c r="G15" s="9" t="inlineStr">
        <is>
          <t>Peak tickets/day</t>
        </is>
      </c>
    </row>
    <row r="16">
      <c r="A16" s="10" t="inlineStr">
        <is>
          <t>Ryan Shepherd</t>
        </is>
      </c>
      <c r="B16" s="12">
        <f>SUMIFS(Detail!$G$4:$G$97,Detail!$A$4:$A$97,$A$2,Detail!$B$4:$B$97,$A16)</f>
        <v/>
      </c>
      <c r="C16" s="12">
        <f>IFERROR($B16/Assumptions!$B$5,0)</f>
        <v/>
      </c>
      <c r="D16" s="11" t="n">
        <v>22</v>
      </c>
      <c r="E16" s="12">
        <f>$D16*Assumptions!$B$5</f>
        <v/>
      </c>
      <c r="F16" s="13">
        <f>IFERROR($B16/$E16,0)</f>
        <v/>
      </c>
      <c r="G16" s="11" t="inlineStr">
        <is>
          <t>3 on 07 May</t>
        </is>
      </c>
    </row>
    <row r="17">
      <c r="A17" s="10" t="inlineStr">
        <is>
          <t>Julian Mulder</t>
        </is>
      </c>
      <c r="B17" s="12">
        <f>SUMIFS(Detail!$G$4:$G$97,Detail!$A$4:$A$97,$A$2,Detail!$B$4:$B$97,$A17)</f>
        <v/>
      </c>
      <c r="C17" s="12">
        <f>IFERROR($B17/Assumptions!$B$5,0)</f>
        <v/>
      </c>
      <c r="D17" s="11" t="n">
        <v>20</v>
      </c>
      <c r="E17" s="12">
        <f>$D17*Assumptions!$B$5</f>
        <v/>
      </c>
      <c r="F17" s="13">
        <f>IFERROR($B17/$E17,0)</f>
        <v/>
      </c>
      <c r="G17" s="11" t="inlineStr">
        <is>
          <t>3 on 19 May</t>
        </is>
      </c>
    </row>
    <row r="18">
      <c r="A18" s="10" t="inlineStr">
        <is>
          <t>Prabhukiran Narava</t>
        </is>
      </c>
      <c r="B18" s="12">
        <f>SUMIFS(Detail!$G$4:$G$97,Detail!$A$4:$A$97,$A$2,Detail!$B$4:$B$97,$A18)</f>
        <v/>
      </c>
      <c r="C18" s="12">
        <f>IFERROR($B18/Assumptions!$B$5,0)</f>
        <v/>
      </c>
      <c r="D18" s="11" t="n">
        <v>22</v>
      </c>
      <c r="E18" s="12">
        <f>$D18*Assumptions!$B$5</f>
        <v/>
      </c>
      <c r="F18" s="13">
        <f>IFERROR($B18/$E18,0)</f>
        <v/>
      </c>
      <c r="G18" s="11" t="inlineStr">
        <is>
          <t>4 on 14 May</t>
        </is>
      </c>
    </row>
    <row r="19">
      <c r="A19" s="10" t="inlineStr">
        <is>
          <t>Santosh Kotkar</t>
        </is>
      </c>
      <c r="B19" s="12">
        <f>SUMIFS(Detail!$G$4:$G$97,Detail!$A$4:$A$97,$A$2,Detail!$B$4:$B$97,$A19)</f>
        <v/>
      </c>
      <c r="C19" s="12">
        <f>IFERROR($B19/Assumptions!$B$5,0)</f>
        <v/>
      </c>
      <c r="D19" s="11" t="n">
        <v>22</v>
      </c>
      <c r="E19" s="12">
        <f>$D19*Assumptions!$B$5</f>
        <v/>
      </c>
      <c r="F19" s="13">
        <f>IFERROR($B19/$E19,0)</f>
        <v/>
      </c>
      <c r="G19" s="11" t="inlineStr">
        <is>
          <t>2 on 21 May</t>
        </is>
      </c>
    </row>
    <row r="20">
      <c r="A20" s="10" t="inlineStr">
        <is>
          <t>Sanjay Chaudhary</t>
        </is>
      </c>
      <c r="B20" s="12">
        <f>SUMIFS(Detail!$G$4:$G$97,Detail!$A$4:$A$97,$A$2,Detail!$B$4:$B$97,$A20)</f>
        <v/>
      </c>
      <c r="C20" s="12">
        <f>IFERROR($B20/Assumptions!$B$5,0)</f>
        <v/>
      </c>
      <c r="D20" s="11" t="n">
        <v>22</v>
      </c>
      <c r="E20" s="12">
        <f>$D20*Assumptions!$B$5</f>
        <v/>
      </c>
      <c r="F20" s="13">
        <f>IFERROR($B20/$E20,0)</f>
        <v/>
      </c>
      <c r="G20" s="11" t="inlineStr">
        <is>
          <t>10 on 20 May</t>
        </is>
      </c>
    </row>
    <row r="21">
      <c r="A21" s="10" t="inlineStr">
        <is>
          <t>Nikolay Antonov</t>
        </is>
      </c>
      <c r="B21" s="12">
        <f>SUMIFS(Detail!$G$4:$G$97,Detail!$A$4:$A$97,$A$2,Detail!$B$4:$B$97,$A21)</f>
        <v/>
      </c>
      <c r="C21" s="12">
        <f>IFERROR($B21/Assumptions!$B$5,0)</f>
        <v/>
      </c>
      <c r="D21" s="11" t="n">
        <v>22</v>
      </c>
      <c r="E21" s="12">
        <f>$D21*Assumptions!$B$5</f>
        <v/>
      </c>
      <c r="F21" s="13">
        <f>IFERROR($B21/$E21,0)</f>
        <v/>
      </c>
      <c r="G21" s="11" t="inlineStr">
        <is>
          <t>11 on 06 May</t>
        </is>
      </c>
    </row>
    <row r="22">
      <c r="A22" s="3" t="inlineStr">
        <is>
          <t>TOTAL</t>
        </is>
      </c>
      <c r="B22" s="16">
        <f>SUM(B16:B21)</f>
        <v/>
      </c>
      <c r="C22" s="16">
        <f>SUM(C16:C21)</f>
        <v/>
      </c>
      <c r="D22" s="16">
        <f>SUM(D16:D21)</f>
        <v/>
      </c>
      <c r="E22" s="16">
        <f>SUM(E16:E21)</f>
        <v/>
      </c>
      <c r="F22" s="17">
        <f>IFERROR($B22/$E22,0)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Ikigai — WBSO hours, 2025-05</t>
        </is>
      </c>
    </row>
    <row r="2">
      <c r="A2" s="5" t="inlineStr">
        <is>
          <t>Team Ikigai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Elisabeth Gie</t>
        </is>
      </c>
      <c r="B5" s="10" t="inlineStr">
        <is>
          <t>SPD-2749</t>
        </is>
      </c>
      <c r="C5" s="10" t="inlineStr">
        <is>
          <t>SPD-2749 VoP Data Hosting Ingester v1</t>
        </is>
      </c>
      <c r="D5" s="12">
        <f>SUMIFS(Detail!$G$4:$G$97,Detail!$A$4:$A$97,$A$2,Detail!$B$4:$B$97,$A5,Detail!$C$4:$C$97,$B5)</f>
        <v/>
      </c>
    </row>
    <row r="6">
      <c r="A6" s="10" t="inlineStr">
        <is>
          <t>Gerard Veldman</t>
        </is>
      </c>
      <c r="B6" s="10" t="inlineStr">
        <is>
          <t>SPD-2724</t>
        </is>
      </c>
      <c r="C6" s="10" t="inlineStr">
        <is>
          <t>SPD-2724 VoP Bulk Checker Iteration 1</t>
        </is>
      </c>
      <c r="D6" s="12">
        <f>SUMIFS(Detail!$G$4:$G$97,Detail!$A$4:$A$97,$A$2,Detail!$B$4:$B$97,$A6,Detail!$C$4:$C$97,$B6)</f>
        <v/>
      </c>
    </row>
    <row r="7">
      <c r="A7" s="10" t="inlineStr">
        <is>
          <t>Diego Silva</t>
        </is>
      </c>
      <c r="B7" s="10" t="inlineStr">
        <is>
          <t>SPD-2716</t>
        </is>
      </c>
      <c r="C7" s="10" t="inlineStr">
        <is>
          <t>SPD-2716 VoP Data Hosting Interation 1</t>
        </is>
      </c>
      <c r="D7" s="12">
        <f>SUMIFS(Detail!$G$4:$G$97,Detail!$A$4:$A$97,$A$2,Detail!$B$4:$B$97,$A7,Detail!$C$4:$C$97,$B7)</f>
        <v/>
      </c>
    </row>
    <row r="8">
      <c r="A8" s="10" t="inlineStr">
        <is>
          <t>Diego Silva</t>
        </is>
      </c>
      <c r="B8" s="10" t="inlineStr">
        <is>
          <t>SPD-2724</t>
        </is>
      </c>
      <c r="C8" s="10" t="inlineStr">
        <is>
          <t>SPD-2724 VoP Bulk Checker Iteration 1</t>
        </is>
      </c>
      <c r="D8" s="12">
        <f>SUMIFS(Detail!$G$4:$G$97,Detail!$A$4:$A$97,$A$2,Detail!$B$4:$B$97,$A8,Detail!$C$4:$C$97,$B8)</f>
        <v/>
      </c>
    </row>
    <row r="9">
      <c r="A9" s="10" t="inlineStr">
        <is>
          <t>Diego Silva</t>
        </is>
      </c>
      <c r="B9" s="10" t="inlineStr">
        <is>
          <t>SPD-2749</t>
        </is>
      </c>
      <c r="C9" s="10" t="inlineStr">
        <is>
          <t>SPD-2749 VoP Data Hosting Ingester v1</t>
        </is>
      </c>
      <c r="D9" s="12">
        <f>SUMIFS(Detail!$G$4:$G$97,Detail!$A$4:$A$97,$A$2,Detail!$B$4:$B$97,$A9,Detail!$C$4:$C$97,$B9)</f>
        <v/>
      </c>
    </row>
    <row r="10">
      <c r="A10" s="10" t="inlineStr">
        <is>
          <t>Juanma Tastzian</t>
        </is>
      </c>
      <c r="B10" s="10" t="inlineStr">
        <is>
          <t>SPD-2716</t>
        </is>
      </c>
      <c r="C10" s="10" t="inlineStr">
        <is>
          <t>SPD-2716 VoP Data Hosting Interation 1</t>
        </is>
      </c>
      <c r="D10" s="12">
        <f>SUMIFS(Detail!$G$4:$G$97,Detail!$A$4:$A$97,$A$2,Detail!$B$4:$B$97,$A10,Detail!$C$4:$C$97,$B10)</f>
        <v/>
      </c>
    </row>
    <row r="11">
      <c r="A11" s="10" t="inlineStr">
        <is>
          <t>Sridhar Gnanasekaran</t>
        </is>
      </c>
      <c r="B11" s="10" t="inlineStr">
        <is>
          <t>SPD-2716</t>
        </is>
      </c>
      <c r="C11" s="10" t="inlineStr">
        <is>
          <t>SPD-2716 VoP Data Hosting Interation 1</t>
        </is>
      </c>
      <c r="D11" s="12">
        <f>SUMIFS(Detail!$G$4:$G$97,Detail!$A$4:$A$97,$A$2,Detail!$B$4:$B$97,$A11,Detail!$C$4:$C$97,$B11)</f>
        <v/>
      </c>
    </row>
    <row r="12">
      <c r="A12" s="10" t="inlineStr">
        <is>
          <t>borys.rudenko</t>
        </is>
      </c>
      <c r="B12" s="10" t="inlineStr">
        <is>
          <t>SPD-2724</t>
        </is>
      </c>
      <c r="C12" s="10" t="inlineStr">
        <is>
          <t>SPD-2724 VoP Bulk Checker Iteration 1</t>
        </is>
      </c>
      <c r="D12" s="12">
        <f>SUMIFS(Detail!$G$4:$G$97,Detail!$A$4:$A$97,$A$2,Detail!$B$4:$B$97,$A12,Detail!$C$4:$C$97,$B12)</f>
        <v/>
      </c>
    </row>
    <row r="13">
      <c r="A13" s="10" t="inlineStr">
        <is>
          <t>borys.rudenko</t>
        </is>
      </c>
      <c r="B13" s="10" t="inlineStr">
        <is>
          <t>SPD-2834</t>
        </is>
      </c>
      <c r="C13" s="10" t="inlineStr">
        <is>
          <t>SPD-2834 VoP Data Hosting Iteration 2</t>
        </is>
      </c>
      <c r="D13" s="12">
        <f>SUMIFS(Detail!$G$4:$G$97,Detail!$A$4:$A$97,$A$2,Detail!$B$4:$B$97,$A13,Detail!$C$4:$C$97,$B13)</f>
        <v/>
      </c>
    </row>
    <row r="14">
      <c r="A14" s="10" t="inlineStr">
        <is>
          <t>Manali Shah</t>
        </is>
      </c>
      <c r="B14" s="10" t="inlineStr">
        <is>
          <t>SPD-2716</t>
        </is>
      </c>
      <c r="C14" s="10" t="inlineStr">
        <is>
          <t>SPD-2716 VoP Data Hosting Interation 1</t>
        </is>
      </c>
      <c r="D14" s="12">
        <f>SUMIFS(Detail!$G$4:$G$97,Detail!$A$4:$A$97,$A$2,Detail!$B$4:$B$97,$A14,Detail!$C$4:$C$97,$B14)</f>
        <v/>
      </c>
    </row>
    <row r="15">
      <c r="A15" s="10" t="inlineStr">
        <is>
          <t>Manali Shah</t>
        </is>
      </c>
      <c r="B15" s="10" t="inlineStr">
        <is>
          <t>SPD-2834</t>
        </is>
      </c>
      <c r="C15" s="10" t="inlineStr">
        <is>
          <t>SPD-2834 VoP Data Hosting Iteration 2</t>
        </is>
      </c>
      <c r="D15" s="12">
        <f>SUMIFS(Detail!$G$4:$G$97,Detail!$A$4:$A$97,$A$2,Detail!$B$4:$B$97,$A15,Detail!$C$4:$C$97,$B15)</f>
        <v/>
      </c>
    </row>
    <row r="16">
      <c r="A16" s="10" t="inlineStr">
        <is>
          <t>Keerthi Shankar</t>
        </is>
      </c>
      <c r="B16" s="10" t="inlineStr">
        <is>
          <t>SPD-2716</t>
        </is>
      </c>
      <c r="C16" s="10" t="inlineStr">
        <is>
          <t>SPD-2716 VoP Data Hosting Interation 1</t>
        </is>
      </c>
      <c r="D16" s="12">
        <f>SUMIFS(Detail!$G$4:$G$97,Detail!$A$4:$A$97,$A$2,Detail!$B$4:$B$97,$A16,Detail!$C$4:$C$97,$B16)</f>
        <v/>
      </c>
    </row>
    <row r="17">
      <c r="A17" s="10" t="inlineStr">
        <is>
          <t>Chaitanya Sagi</t>
        </is>
      </c>
      <c r="B17" s="10" t="inlineStr">
        <is>
          <t>SPD-2716</t>
        </is>
      </c>
      <c r="C17" s="10" t="inlineStr">
        <is>
          <t>SPD-2716 VoP Data Hosting Interation 1</t>
        </is>
      </c>
      <c r="D17" s="12">
        <f>SUMIFS(Detail!$G$4:$G$97,Detail!$A$4:$A$97,$A$2,Detail!$B$4:$B$97,$A17,Detail!$C$4:$C$97,$B17)</f>
        <v/>
      </c>
    </row>
    <row r="18">
      <c r="A18" s="10" t="inlineStr">
        <is>
          <t>Chaitanya Sagi</t>
        </is>
      </c>
      <c r="B18" s="10" t="inlineStr">
        <is>
          <t>SPD-2724</t>
        </is>
      </c>
      <c r="C18" s="10" t="inlineStr">
        <is>
          <t>SPD-2724 VoP Bulk Checker Iteration 1</t>
        </is>
      </c>
      <c r="D18" s="12">
        <f>SUMIFS(Detail!$G$4:$G$97,Detail!$A$4:$A$97,$A$2,Detail!$B$4:$B$97,$A18,Detail!$C$4:$C$97,$B18)</f>
        <v/>
      </c>
    </row>
    <row r="19">
      <c r="A19" s="18" t="n"/>
      <c r="B19" s="18" t="n"/>
      <c r="C19" s="19" t="inlineStr">
        <is>
          <t>TEAM TOTAL</t>
        </is>
      </c>
      <c r="D19" s="20">
        <f>SUM(D5:D18)</f>
        <v/>
      </c>
    </row>
    <row r="22">
      <c r="A22" s="6" t="inlineStr">
        <is>
          <t>Per engineer</t>
        </is>
      </c>
    </row>
    <row r="23">
      <c r="A23" s="9" t="inlineStr">
        <is>
          <t>Engineer</t>
        </is>
      </c>
      <c r="B23" s="9" t="inlineStr">
        <is>
          <t>WBSO hours</t>
        </is>
      </c>
      <c r="C23" s="9" t="inlineStr">
        <is>
          <t>Day equivalent</t>
        </is>
      </c>
      <c r="D23" s="9" t="inlineStr">
        <is>
          <t>Active days</t>
        </is>
      </c>
      <c r="E23" s="9" t="inlineStr">
        <is>
          <t>Capacity hours</t>
        </is>
      </c>
      <c r="F23" s="9" t="inlineStr">
        <is>
          <t>WBSO share</t>
        </is>
      </c>
      <c r="G23" s="9" t="inlineStr">
        <is>
          <t>Peak tickets/day</t>
        </is>
      </c>
    </row>
    <row r="24">
      <c r="A24" s="10" t="inlineStr">
        <is>
          <t>Elisabeth Gie</t>
        </is>
      </c>
      <c r="B24" s="12">
        <f>SUMIFS(Detail!$G$4:$G$97,Detail!$A$4:$A$97,$A$2,Detail!$B$4:$B$97,$A24)</f>
        <v/>
      </c>
      <c r="C24" s="12">
        <f>IFERROR($B24/Assumptions!$B$5,0)</f>
        <v/>
      </c>
      <c r="D24" s="11" t="n">
        <v>22</v>
      </c>
      <c r="E24" s="12">
        <f>$D24*Assumptions!$B$5</f>
        <v/>
      </c>
      <c r="F24" s="13">
        <f>IFERROR($B24/$E24,0)</f>
        <v/>
      </c>
      <c r="G24" s="11" t="inlineStr">
        <is>
          <t>1 on 01 May</t>
        </is>
      </c>
    </row>
    <row r="25">
      <c r="A25" s="10" t="inlineStr">
        <is>
          <t>Gerard Veldman</t>
        </is>
      </c>
      <c r="B25" s="12">
        <f>SUMIFS(Detail!$G$4:$G$97,Detail!$A$4:$A$97,$A$2,Detail!$B$4:$B$97,$A25)</f>
        <v/>
      </c>
      <c r="C25" s="12">
        <f>IFERROR($B25/Assumptions!$B$5,0)</f>
        <v/>
      </c>
      <c r="D25" s="11" t="n">
        <v>22</v>
      </c>
      <c r="E25" s="12">
        <f>$D25*Assumptions!$B$5</f>
        <v/>
      </c>
      <c r="F25" s="13">
        <f>IFERROR($B25/$E25,0)</f>
        <v/>
      </c>
      <c r="G25" s="11" t="inlineStr">
        <is>
          <t>4 on 01 May</t>
        </is>
      </c>
    </row>
    <row r="26">
      <c r="A26" s="10" t="inlineStr">
        <is>
          <t>Diego Silva</t>
        </is>
      </c>
      <c r="B26" s="12">
        <f>SUMIFS(Detail!$G$4:$G$97,Detail!$A$4:$A$97,$A$2,Detail!$B$4:$B$97,$A26)</f>
        <v/>
      </c>
      <c r="C26" s="12">
        <f>IFERROR($B26/Assumptions!$B$5,0)</f>
        <v/>
      </c>
      <c r="D26" s="11" t="n">
        <v>22</v>
      </c>
      <c r="E26" s="12">
        <f>$D26*Assumptions!$B$5</f>
        <v/>
      </c>
      <c r="F26" s="13">
        <f>IFERROR($B26/$E26,0)</f>
        <v/>
      </c>
      <c r="G26" s="11" t="inlineStr">
        <is>
          <t>5 on 13 May</t>
        </is>
      </c>
    </row>
    <row r="27">
      <c r="A27" s="10" t="inlineStr">
        <is>
          <t>Juanma Tastzian</t>
        </is>
      </c>
      <c r="B27" s="12">
        <f>SUMIFS(Detail!$G$4:$G$97,Detail!$A$4:$A$97,$A$2,Detail!$B$4:$B$97,$A27)</f>
        <v/>
      </c>
      <c r="C27" s="12">
        <f>IFERROR($B27/Assumptions!$B$5,0)</f>
        <v/>
      </c>
      <c r="D27" s="11" t="n">
        <v>22</v>
      </c>
      <c r="E27" s="12">
        <f>$D27*Assumptions!$B$5</f>
        <v/>
      </c>
      <c r="F27" s="13">
        <f>IFERROR($B27/$E27,0)</f>
        <v/>
      </c>
      <c r="G27" s="11" t="inlineStr">
        <is>
          <t>2 on 13 May</t>
        </is>
      </c>
    </row>
    <row r="28">
      <c r="A28" s="10" t="inlineStr">
        <is>
          <t>Sridhar Gnanasekaran</t>
        </is>
      </c>
      <c r="B28" s="12">
        <f>SUMIFS(Detail!$G$4:$G$97,Detail!$A$4:$A$97,$A$2,Detail!$B$4:$B$97,$A28)</f>
        <v/>
      </c>
      <c r="C28" s="12">
        <f>IFERROR($B28/Assumptions!$B$5,0)</f>
        <v/>
      </c>
      <c r="D28" s="11" t="n">
        <v>22</v>
      </c>
      <c r="E28" s="12">
        <f>$D28*Assumptions!$B$5</f>
        <v/>
      </c>
      <c r="F28" s="13">
        <f>IFERROR($B28/$E28,0)</f>
        <v/>
      </c>
      <c r="G28" s="11" t="inlineStr">
        <is>
          <t>2 on 26 May</t>
        </is>
      </c>
    </row>
    <row r="29">
      <c r="A29" s="10" t="inlineStr">
        <is>
          <t>borys.rudenko</t>
        </is>
      </c>
      <c r="B29" s="12">
        <f>SUMIFS(Detail!$G$4:$G$97,Detail!$A$4:$A$97,$A$2,Detail!$B$4:$B$97,$A29)</f>
        <v/>
      </c>
      <c r="C29" s="12">
        <f>IFERROR($B29/Assumptions!$B$5,0)</f>
        <v/>
      </c>
      <c r="D29" s="11" t="n">
        <v>21</v>
      </c>
      <c r="E29" s="12">
        <f>$D29*Assumptions!$B$5</f>
        <v/>
      </c>
      <c r="F29" s="13">
        <f>IFERROR($B29/$E29,0)</f>
        <v/>
      </c>
      <c r="G29" s="11" t="inlineStr">
        <is>
          <t>2 on 12 May</t>
        </is>
      </c>
    </row>
    <row r="30">
      <c r="A30" s="10" t="inlineStr">
        <is>
          <t>Manali Shah</t>
        </is>
      </c>
      <c r="B30" s="12">
        <f>SUMIFS(Detail!$G$4:$G$97,Detail!$A$4:$A$97,$A$2,Detail!$B$4:$B$97,$A30)</f>
        <v/>
      </c>
      <c r="C30" s="12">
        <f>IFERROR($B30/Assumptions!$B$5,0)</f>
        <v/>
      </c>
      <c r="D30" s="11" t="n">
        <v>21</v>
      </c>
      <c r="E30" s="12">
        <f>$D30*Assumptions!$B$5</f>
        <v/>
      </c>
      <c r="F30" s="13">
        <f>IFERROR($B30/$E30,0)</f>
        <v/>
      </c>
      <c r="G30" s="11" t="inlineStr">
        <is>
          <t>3 on 28 May</t>
        </is>
      </c>
    </row>
    <row r="31">
      <c r="A31" s="10" t="inlineStr">
        <is>
          <t>Keerthi Shankar</t>
        </is>
      </c>
      <c r="B31" s="12">
        <f>SUMIFS(Detail!$G$4:$G$97,Detail!$A$4:$A$97,$A$2,Detail!$B$4:$B$97,$A31)</f>
        <v/>
      </c>
      <c r="C31" s="12">
        <f>IFERROR($B31/Assumptions!$B$5,0)</f>
        <v/>
      </c>
      <c r="D31" s="11" t="n">
        <v>16</v>
      </c>
      <c r="E31" s="12">
        <f>$D31*Assumptions!$B$5</f>
        <v/>
      </c>
      <c r="F31" s="13">
        <f>IFERROR($B31/$E31,0)</f>
        <v/>
      </c>
      <c r="G31" s="11" t="inlineStr">
        <is>
          <t>2 on 01 May</t>
        </is>
      </c>
    </row>
    <row r="32">
      <c r="A32" s="10" t="inlineStr">
        <is>
          <t>Chaitanya Sagi</t>
        </is>
      </c>
      <c r="B32" s="12">
        <f>SUMIFS(Detail!$G$4:$G$97,Detail!$A$4:$A$97,$A$2,Detail!$B$4:$B$97,$A32)</f>
        <v/>
      </c>
      <c r="C32" s="12">
        <f>IFERROR($B32/Assumptions!$B$5,0)</f>
        <v/>
      </c>
      <c r="D32" s="11" t="n">
        <v>18</v>
      </c>
      <c r="E32" s="12">
        <f>$D32*Assumptions!$B$5</f>
        <v/>
      </c>
      <c r="F32" s="13">
        <f>IFERROR($B32/$E32,0)</f>
        <v/>
      </c>
      <c r="G32" s="11" t="inlineStr">
        <is>
          <t>4 on 09 May</t>
        </is>
      </c>
    </row>
    <row r="33">
      <c r="A33" s="3" t="inlineStr">
        <is>
          <t>TOTAL</t>
        </is>
      </c>
      <c r="B33" s="16">
        <f>SUM(B24:B32)</f>
        <v/>
      </c>
      <c r="C33" s="16">
        <f>SUM(C24:C32)</f>
        <v/>
      </c>
      <c r="D33" s="16">
        <f>SUM(D24:D32)</f>
        <v/>
      </c>
      <c r="E33" s="16">
        <f>SUM(E24:E32)</f>
        <v/>
      </c>
      <c r="F33" s="17">
        <f>IFERROR($B33/$E33,0)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Samba — WBSO hours, 2025-05</t>
        </is>
      </c>
    </row>
    <row r="2">
      <c r="A2" s="5" t="inlineStr">
        <is>
          <t>Team Samba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Adorjan Fritz</t>
        </is>
      </c>
      <c r="B5" s="10" t="inlineStr">
        <is>
          <t>SDO-6876</t>
        </is>
      </c>
      <c r="C5" s="10" t="inlineStr">
        <is>
          <t>SDO-6876 VoP Gateway solution</t>
        </is>
      </c>
      <c r="D5" s="12">
        <f>SUMIFS(Detail!$G$4:$G$97,Detail!$A$4:$A$97,$A$2,Detail!$B$4:$B$97,$A5,Detail!$C$4:$C$97,$B5)</f>
        <v/>
      </c>
    </row>
    <row r="6">
      <c r="A6" s="10" t="inlineStr">
        <is>
          <t>Adorjan Fritz</t>
        </is>
      </c>
      <c r="B6" s="10" t="inlineStr">
        <is>
          <t>SDO-7438</t>
        </is>
      </c>
      <c r="C6" s="10" t="inlineStr">
        <is>
          <t>SDO-7438 VOP Gateway - Enhancements</t>
        </is>
      </c>
      <c r="D6" s="12">
        <f>SUMIFS(Detail!$G$4:$G$97,Detail!$A$4:$A$97,$A$2,Detail!$B$4:$B$97,$A6,Detail!$C$4:$C$97,$B6)</f>
        <v/>
      </c>
    </row>
    <row r="7">
      <c r="A7" s="10" t="inlineStr">
        <is>
          <t>Sandhya Pai</t>
        </is>
      </c>
      <c r="B7" s="10" t="inlineStr">
        <is>
          <t>SDO-7438</t>
        </is>
      </c>
      <c r="C7" s="10" t="inlineStr">
        <is>
          <t>SDO-7438 VOP Gateway - Enhancements</t>
        </is>
      </c>
      <c r="D7" s="12">
        <f>SUMIFS(Detail!$G$4:$G$97,Detail!$A$4:$A$97,$A$2,Detail!$B$4:$B$97,$A7,Detail!$C$4:$C$97,$B7)</f>
        <v/>
      </c>
    </row>
    <row r="8">
      <c r="A8" s="10" t="inlineStr">
        <is>
          <t>Ismail Kuyu</t>
        </is>
      </c>
      <c r="B8" s="10" t="inlineStr">
        <is>
          <t>SDO-6876</t>
        </is>
      </c>
      <c r="C8" s="10" t="inlineStr">
        <is>
          <t>SDO-6876 VoP Gateway solution</t>
        </is>
      </c>
      <c r="D8" s="12">
        <f>SUMIFS(Detail!$G$4:$G$97,Detail!$A$4:$A$97,$A$2,Detail!$B$4:$B$97,$A8,Detail!$C$4:$C$97,$B8)</f>
        <v/>
      </c>
    </row>
    <row r="9">
      <c r="A9" s="10" t="inlineStr">
        <is>
          <t>Ismail Kuyu</t>
        </is>
      </c>
      <c r="B9" s="10" t="inlineStr">
        <is>
          <t>SDO-7438</t>
        </is>
      </c>
      <c r="C9" s="10" t="inlineStr">
        <is>
          <t>SDO-7438 VOP Gateway - Enhancements</t>
        </is>
      </c>
      <c r="D9" s="12">
        <f>SUMIFS(Detail!$G$4:$G$97,Detail!$A$4:$A$97,$A$2,Detail!$B$4:$B$97,$A9,Detail!$C$4:$C$97,$B9)</f>
        <v/>
      </c>
    </row>
    <row r="10">
      <c r="A10" s="10" t="inlineStr">
        <is>
          <t>Ioannis Argyroulis</t>
        </is>
      </c>
      <c r="B10" s="10" t="inlineStr">
        <is>
          <t>SDO-4324</t>
        </is>
      </c>
      <c r="C10" s="10" t="inlineStr">
        <is>
          <t>SDO-4324 SWIFT Outbound/Inbound</t>
        </is>
      </c>
      <c r="D10" s="12">
        <f>SUMIFS(Detail!$G$4:$G$97,Detail!$A$4:$A$97,$A$2,Detail!$B$4:$B$97,$A10,Detail!$C$4:$C$97,$B10)</f>
        <v/>
      </c>
    </row>
    <row r="11">
      <c r="A11" s="10" t="inlineStr">
        <is>
          <t>Ioannis Argyroulis</t>
        </is>
      </c>
      <c r="B11" s="10" t="inlineStr">
        <is>
          <t>SDO-7438</t>
        </is>
      </c>
      <c r="C11" s="10" t="inlineStr">
        <is>
          <t>SDO-7438 VOP Gateway - Enhancements</t>
        </is>
      </c>
      <c r="D11" s="12">
        <f>SUMIFS(Detail!$G$4:$G$97,Detail!$A$4:$A$97,$A$2,Detail!$B$4:$B$97,$A11,Detail!$C$4:$C$97,$B11)</f>
        <v/>
      </c>
    </row>
    <row r="12">
      <c r="A12" s="10" t="inlineStr">
        <is>
          <t>Orwa Badran</t>
        </is>
      </c>
      <c r="B12" s="10" t="inlineStr">
        <is>
          <t>SDO-6876</t>
        </is>
      </c>
      <c r="C12" s="10" t="inlineStr">
        <is>
          <t>SDO-6876 VoP Gateway solution</t>
        </is>
      </c>
      <c r="D12" s="12">
        <f>SUMIFS(Detail!$G$4:$G$97,Detail!$A$4:$A$97,$A$2,Detail!$B$4:$B$97,$A12,Detail!$C$4:$C$97,$B12)</f>
        <v/>
      </c>
    </row>
    <row r="13">
      <c r="A13" s="10" t="inlineStr">
        <is>
          <t>Sheik Farzand Razi</t>
        </is>
      </c>
      <c r="B13" s="10" t="inlineStr">
        <is>
          <t>SDO-6876</t>
        </is>
      </c>
      <c r="C13" s="10" t="inlineStr">
        <is>
          <t>SDO-6876 VoP Gateway solution</t>
        </is>
      </c>
      <c r="D13" s="12">
        <f>SUMIFS(Detail!$G$4:$G$97,Detail!$A$4:$A$97,$A$2,Detail!$B$4:$B$97,$A13,Detail!$C$4:$C$97,$B13)</f>
        <v/>
      </c>
    </row>
    <row r="14">
      <c r="A14" s="18" t="n"/>
      <c r="B14" s="18" t="n"/>
      <c r="C14" s="19" t="inlineStr">
        <is>
          <t>TEAM TOTAL</t>
        </is>
      </c>
      <c r="D14" s="20">
        <f>SUM(D5:D13)</f>
        <v/>
      </c>
    </row>
    <row r="17">
      <c r="A17" s="6" t="inlineStr">
        <is>
          <t>Per engineer</t>
        </is>
      </c>
    </row>
    <row r="18">
      <c r="A18" s="9" t="inlineStr">
        <is>
          <t>Engineer</t>
        </is>
      </c>
      <c r="B18" s="9" t="inlineStr">
        <is>
          <t>WBSO hours</t>
        </is>
      </c>
      <c r="C18" s="9" t="inlineStr">
        <is>
          <t>Day equivalent</t>
        </is>
      </c>
      <c r="D18" s="9" t="inlineStr">
        <is>
          <t>Active days</t>
        </is>
      </c>
      <c r="E18" s="9" t="inlineStr">
        <is>
          <t>Capacity hours</t>
        </is>
      </c>
      <c r="F18" s="9" t="inlineStr">
        <is>
          <t>WBSO share</t>
        </is>
      </c>
      <c r="G18" s="9" t="inlineStr">
        <is>
          <t>Peak tickets/day</t>
        </is>
      </c>
    </row>
    <row r="19">
      <c r="A19" s="10" t="inlineStr">
        <is>
          <t>Adorjan Fritz</t>
        </is>
      </c>
      <c r="B19" s="12">
        <f>SUMIFS(Detail!$G$4:$G$97,Detail!$A$4:$A$97,$A$2,Detail!$B$4:$B$97,$A19)</f>
        <v/>
      </c>
      <c r="C19" s="12">
        <f>IFERROR($B19/Assumptions!$B$5,0)</f>
        <v/>
      </c>
      <c r="D19" s="11" t="n">
        <v>22</v>
      </c>
      <c r="E19" s="12">
        <f>$D19*Assumptions!$B$5</f>
        <v/>
      </c>
      <c r="F19" s="13">
        <f>IFERROR($B19/$E19,0)</f>
        <v/>
      </c>
      <c r="G19" s="11" t="inlineStr">
        <is>
          <t>6 on 02 May</t>
        </is>
      </c>
    </row>
    <row r="20">
      <c r="A20" s="10" t="inlineStr">
        <is>
          <t>Sandhya Pai</t>
        </is>
      </c>
      <c r="B20" s="12">
        <f>SUMIFS(Detail!$G$4:$G$97,Detail!$A$4:$A$97,$A$2,Detail!$B$4:$B$97,$A20)</f>
        <v/>
      </c>
      <c r="C20" s="12">
        <f>IFERROR($B20/Assumptions!$B$5,0)</f>
        <v/>
      </c>
      <c r="D20" s="11" t="n">
        <v>22</v>
      </c>
      <c r="E20" s="12">
        <f>$D20*Assumptions!$B$5</f>
        <v/>
      </c>
      <c r="F20" s="13">
        <f>IFERROR($B20/$E20,0)</f>
        <v/>
      </c>
      <c r="G20" s="11" t="inlineStr">
        <is>
          <t>3 on 21 May</t>
        </is>
      </c>
    </row>
    <row r="21">
      <c r="A21" s="10" t="inlineStr">
        <is>
          <t>Ismail Kuyu</t>
        </is>
      </c>
      <c r="B21" s="12">
        <f>SUMIFS(Detail!$G$4:$G$97,Detail!$A$4:$A$97,$A$2,Detail!$B$4:$B$97,$A21)</f>
        <v/>
      </c>
      <c r="C21" s="12">
        <f>IFERROR($B21/Assumptions!$B$5,0)</f>
        <v/>
      </c>
      <c r="D21" s="11" t="n">
        <v>22</v>
      </c>
      <c r="E21" s="12">
        <f>$D21*Assumptions!$B$5</f>
        <v/>
      </c>
      <c r="F21" s="13">
        <f>IFERROR($B21/$E21,0)</f>
        <v/>
      </c>
      <c r="G21" s="11" t="inlineStr">
        <is>
          <t>5 on 02 May</t>
        </is>
      </c>
    </row>
    <row r="22">
      <c r="A22" s="10" t="inlineStr">
        <is>
          <t>Ioannis Argyroulis</t>
        </is>
      </c>
      <c r="B22" s="12">
        <f>SUMIFS(Detail!$G$4:$G$97,Detail!$A$4:$A$97,$A$2,Detail!$B$4:$B$97,$A22)</f>
        <v/>
      </c>
      <c r="C22" s="12">
        <f>IFERROR($B22/Assumptions!$B$5,0)</f>
        <v/>
      </c>
      <c r="D22" s="11" t="n">
        <v>22</v>
      </c>
      <c r="E22" s="12">
        <f>$D22*Assumptions!$B$5</f>
        <v/>
      </c>
      <c r="F22" s="13">
        <f>IFERROR($B22/$E22,0)</f>
        <v/>
      </c>
      <c r="G22" s="11" t="inlineStr">
        <is>
          <t>4 on 27 May</t>
        </is>
      </c>
    </row>
    <row r="23">
      <c r="A23" s="10" t="inlineStr">
        <is>
          <t>Orwa Badran</t>
        </is>
      </c>
      <c r="B23" s="12">
        <f>SUMIFS(Detail!$G$4:$G$97,Detail!$A$4:$A$97,$A$2,Detail!$B$4:$B$97,$A23)</f>
        <v/>
      </c>
      <c r="C23" s="12">
        <f>IFERROR($B23/Assumptions!$B$5,0)</f>
        <v/>
      </c>
      <c r="D23" s="11" t="n">
        <v>22</v>
      </c>
      <c r="E23" s="12">
        <f>$D23*Assumptions!$B$5</f>
        <v/>
      </c>
      <c r="F23" s="13">
        <f>IFERROR($B23/$E23,0)</f>
        <v/>
      </c>
      <c r="G23" s="11" t="inlineStr">
        <is>
          <t>5 on 02 May</t>
        </is>
      </c>
    </row>
    <row r="24">
      <c r="A24" s="10" t="inlineStr">
        <is>
          <t>Sheik Farzand Razi</t>
        </is>
      </c>
      <c r="B24" s="12">
        <f>SUMIFS(Detail!$G$4:$G$97,Detail!$A$4:$A$97,$A$2,Detail!$B$4:$B$97,$A24)</f>
        <v/>
      </c>
      <c r="C24" s="12">
        <f>IFERROR($B24/Assumptions!$B$5,0)</f>
        <v/>
      </c>
      <c r="D24" s="11" t="n">
        <v>13</v>
      </c>
      <c r="E24" s="12">
        <f>$D24*Assumptions!$B$5</f>
        <v/>
      </c>
      <c r="F24" s="13">
        <f>IFERROR($B24/$E24,0)</f>
        <v/>
      </c>
      <c r="G24" s="11" t="inlineStr">
        <is>
          <t>5 on 16 May</t>
        </is>
      </c>
    </row>
    <row r="25">
      <c r="A25" s="3" t="inlineStr">
        <is>
          <t>TOTAL</t>
        </is>
      </c>
      <c r="B25" s="16">
        <f>SUM(B19:B24)</f>
        <v/>
      </c>
      <c r="C25" s="16">
        <f>SUM(C19:C24)</f>
        <v/>
      </c>
      <c r="D25" s="16">
        <f>SUM(D19:D24)</f>
        <v/>
      </c>
      <c r="E25" s="16">
        <f>SUM(E19:E24)</f>
        <v/>
      </c>
      <c r="F25" s="17">
        <f>IFERROR($B25/$E25,0)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YODA — WBSO hours, 2025-05</t>
        </is>
      </c>
    </row>
    <row r="2">
      <c r="A2" s="5" t="inlineStr">
        <is>
          <t>YODA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Parth Mewada</t>
        </is>
      </c>
      <c r="B5" s="10" t="inlineStr">
        <is>
          <t>YODA-1338</t>
        </is>
      </c>
      <c r="C5" s="10" t="inlineStr">
        <is>
          <t>YODA-1338 Auditing &amp; Dashboard POCs</t>
        </is>
      </c>
      <c r="D5" s="12">
        <f>SUMIFS(Detail!$G$4:$G$97,Detail!$A$4:$A$97,$A$2,Detail!$B$4:$B$97,$A5,Detail!$C$4:$C$97,$B5)</f>
        <v/>
      </c>
    </row>
    <row r="6">
      <c r="A6" s="10" t="inlineStr">
        <is>
          <t>Parth Mewada</t>
        </is>
      </c>
      <c r="B6" s="10" t="inlineStr">
        <is>
          <t>YODA-1430</t>
        </is>
      </c>
      <c r="C6" s="10" t="inlineStr">
        <is>
          <t>YODA-1430 [Audit] Roll out</t>
        </is>
      </c>
      <c r="D6" s="12">
        <f>SUMIFS(Detail!$G$4:$G$97,Detail!$A$4:$A$97,$A$2,Detail!$B$4:$B$97,$A6,Detail!$C$4:$C$97,$B6)</f>
        <v/>
      </c>
    </row>
    <row r="7">
      <c r="A7" s="10" t="inlineStr">
        <is>
          <t>Mark Moorcroft</t>
        </is>
      </c>
      <c r="B7" s="10" t="inlineStr">
        <is>
          <t>YODA-1430</t>
        </is>
      </c>
      <c r="C7" s="10" t="inlineStr">
        <is>
          <t>YODA-1430 [Audit] Roll out</t>
        </is>
      </c>
      <c r="D7" s="12">
        <f>SUMIFS(Detail!$G$4:$G$97,Detail!$A$4:$A$97,$A$2,Detail!$B$4:$B$97,$A7,Detail!$C$4:$C$97,$B7)</f>
        <v/>
      </c>
    </row>
    <row r="8">
      <c r="A8" s="10" t="inlineStr">
        <is>
          <t>Richard Oliver</t>
        </is>
      </c>
      <c r="B8" s="10" t="inlineStr">
        <is>
          <t>YODA-1046</t>
        </is>
      </c>
      <c r="C8" s="10" t="inlineStr">
        <is>
          <t>YODA-1046 OPA - JPM V1</t>
        </is>
      </c>
      <c r="D8" s="12">
        <f>SUMIFS(Detail!$G$4:$G$97,Detail!$A$4:$A$97,$A$2,Detail!$B$4:$B$97,$A8,Detail!$C$4:$C$97,$B8)</f>
        <v/>
      </c>
    </row>
    <row r="9">
      <c r="A9" s="10" t="inlineStr">
        <is>
          <t>Richard Oliver</t>
        </is>
      </c>
      <c r="B9" s="10" t="inlineStr">
        <is>
          <t>YODA-1429</t>
        </is>
      </c>
      <c r="C9" s="10" t="inlineStr">
        <is>
          <t>YODA-1429 [Audit] Backup strategy</t>
        </is>
      </c>
      <c r="D9" s="12">
        <f>SUMIFS(Detail!$G$4:$G$97,Detail!$A$4:$A$97,$A$2,Detail!$B$4:$B$97,$A9,Detail!$C$4:$C$97,$B9)</f>
        <v/>
      </c>
    </row>
    <row r="10">
      <c r="A10" s="10" t="inlineStr">
        <is>
          <t>Richard Oliver</t>
        </is>
      </c>
      <c r="B10" s="10" t="inlineStr">
        <is>
          <t>YODA-1430</t>
        </is>
      </c>
      <c r="C10" s="10" t="inlineStr">
        <is>
          <t>YODA-1430 [Audit] Roll out</t>
        </is>
      </c>
      <c r="D10" s="12">
        <f>SUMIFS(Detail!$G$4:$G$97,Detail!$A$4:$A$97,$A$2,Detail!$B$4:$B$97,$A10,Detail!$C$4:$C$97,$B10)</f>
        <v/>
      </c>
    </row>
    <row r="11">
      <c r="A11" s="18" t="n"/>
      <c r="B11" s="18" t="n"/>
      <c r="C11" s="19" t="inlineStr">
        <is>
          <t>TEAM TOTAL</t>
        </is>
      </c>
      <c r="D11" s="20">
        <f>SUM(D5:D10)</f>
        <v/>
      </c>
    </row>
    <row r="14">
      <c r="A14" s="6" t="inlineStr">
        <is>
          <t>Per engineer</t>
        </is>
      </c>
    </row>
    <row r="15">
      <c r="A15" s="9" t="inlineStr">
        <is>
          <t>Engineer</t>
        </is>
      </c>
      <c r="B15" s="9" t="inlineStr">
        <is>
          <t>WBSO hours</t>
        </is>
      </c>
      <c r="C15" s="9" t="inlineStr">
        <is>
          <t>Day equivalent</t>
        </is>
      </c>
      <c r="D15" s="9" t="inlineStr">
        <is>
          <t>Active days</t>
        </is>
      </c>
      <c r="E15" s="9" t="inlineStr">
        <is>
          <t>Capacity hours</t>
        </is>
      </c>
      <c r="F15" s="9" t="inlineStr">
        <is>
          <t>WBSO share</t>
        </is>
      </c>
      <c r="G15" s="9" t="inlineStr">
        <is>
          <t>Peak tickets/day</t>
        </is>
      </c>
    </row>
    <row r="16">
      <c r="A16" s="10" t="inlineStr">
        <is>
          <t>Parth Mewada</t>
        </is>
      </c>
      <c r="B16" s="12">
        <f>SUMIFS(Detail!$G$4:$G$97,Detail!$A$4:$A$97,$A$2,Detail!$B$4:$B$97,$A16)</f>
        <v/>
      </c>
      <c r="C16" s="12">
        <f>IFERROR($B16/Assumptions!$B$5,0)</f>
        <v/>
      </c>
      <c r="D16" s="11" t="n">
        <v>17</v>
      </c>
      <c r="E16" s="12">
        <f>$D16*Assumptions!$B$5</f>
        <v/>
      </c>
      <c r="F16" s="13">
        <f>IFERROR($B16/$E16,0)</f>
        <v/>
      </c>
      <c r="G16" s="11" t="inlineStr">
        <is>
          <t>4 on 15 May</t>
        </is>
      </c>
    </row>
    <row r="17">
      <c r="A17" s="10" t="inlineStr">
        <is>
          <t>Mark Moorcroft</t>
        </is>
      </c>
      <c r="B17" s="12">
        <f>SUMIFS(Detail!$G$4:$G$97,Detail!$A$4:$A$97,$A$2,Detail!$B$4:$B$97,$A17)</f>
        <v/>
      </c>
      <c r="C17" s="12">
        <f>IFERROR($B17/Assumptions!$B$5,0)</f>
        <v/>
      </c>
      <c r="D17" s="11" t="n">
        <v>11</v>
      </c>
      <c r="E17" s="12">
        <f>$D17*Assumptions!$B$5</f>
        <v/>
      </c>
      <c r="F17" s="13">
        <f>IFERROR($B17/$E17,0)</f>
        <v/>
      </c>
      <c r="G17" s="11" t="inlineStr">
        <is>
          <t>2 on 27 May</t>
        </is>
      </c>
    </row>
    <row r="18">
      <c r="A18" s="10" t="inlineStr">
        <is>
          <t>Richard Oliver</t>
        </is>
      </c>
      <c r="B18" s="12">
        <f>SUMIFS(Detail!$G$4:$G$97,Detail!$A$4:$A$97,$A$2,Detail!$B$4:$B$97,$A18)</f>
        <v/>
      </c>
      <c r="C18" s="12">
        <f>IFERROR($B18/Assumptions!$B$5,0)</f>
        <v/>
      </c>
      <c r="D18" s="11" t="n">
        <v>20</v>
      </c>
      <c r="E18" s="12">
        <f>$D18*Assumptions!$B$5</f>
        <v/>
      </c>
      <c r="F18" s="13">
        <f>IFERROR($B18/$E18,0)</f>
        <v/>
      </c>
      <c r="G18" s="11" t="inlineStr">
        <is>
          <t>6 on 09 May</t>
        </is>
      </c>
    </row>
    <row r="19">
      <c r="A19" s="3" t="inlineStr">
        <is>
          <t>TOTAL</t>
        </is>
      </c>
      <c r="B19" s="16">
        <f>SUM(B16:B18)</f>
        <v/>
      </c>
      <c r="C19" s="16">
        <f>SUM(C16:C18)</f>
        <v/>
      </c>
      <c r="D19" s="16">
        <f>SUM(D16:D18)</f>
        <v/>
      </c>
      <c r="E19" s="16">
        <f>SUM(E16:E18)</f>
        <v/>
      </c>
      <c r="F19" s="17">
        <f>IFERROR($B19/$E19,0)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4" customWidth="1" min="4" max="4"/>
    <col width="14" customWidth="1" min="5" max="5"/>
    <col width="46" customWidth="1" min="6" max="6"/>
    <col width="10" customWidth="1" min="7" max="7"/>
  </cols>
  <sheetData>
    <row r="1">
      <c r="A1" s="1" t="inlineStr">
        <is>
          <t>Per-ticket WBSO hours across every team (input data from Jira)</t>
        </is>
      </c>
    </row>
    <row r="3">
      <c r="A3" s="9" t="inlineStr">
        <is>
          <t>Team</t>
        </is>
      </c>
      <c r="B3" s="9" t="inlineStr">
        <is>
          <t>Engineer</t>
        </is>
      </c>
      <c r="C3" s="9" t="inlineStr">
        <is>
          <t>Epic key</t>
        </is>
      </c>
      <c r="D3" s="9" t="inlineStr">
        <is>
          <t>Epic</t>
        </is>
      </c>
      <c r="E3" s="9" t="inlineStr">
        <is>
          <t>Ticket</t>
        </is>
      </c>
      <c r="F3" s="9" t="inlineStr">
        <is>
          <t>Ticket summary</t>
        </is>
      </c>
      <c r="G3" s="9" t="inlineStr">
        <is>
          <t>Hours</t>
        </is>
      </c>
    </row>
    <row r="4">
      <c r="A4" s="10" t="inlineStr">
        <is>
          <t>Pastel de Portal Team</t>
        </is>
      </c>
      <c r="B4" s="10" t="inlineStr">
        <is>
          <t>Vitor Fernandes</t>
        </is>
      </c>
      <c r="C4" s="10" t="inlineStr">
        <is>
          <t>PT-54</t>
        </is>
      </c>
      <c r="D4" s="10" t="inlineStr">
        <is>
          <t>PT-54 VOP File Check</t>
        </is>
      </c>
      <c r="E4" s="10" t="inlineStr">
        <is>
          <t>PT-165</t>
        </is>
      </c>
      <c r="F4" s="10" t="inlineStr">
        <is>
          <t>Upload File - BFF - API Integration</t>
        </is>
      </c>
      <c r="G4" s="22" t="n">
        <v>24.1333</v>
      </c>
    </row>
    <row r="5">
      <c r="A5" s="10" t="inlineStr">
        <is>
          <t>Pastel de Portal Team</t>
        </is>
      </c>
      <c r="B5" s="10" t="inlineStr">
        <is>
          <t>Vitor Fernandes</t>
        </is>
      </c>
      <c r="C5" s="10" t="inlineStr">
        <is>
          <t>PT-54</t>
        </is>
      </c>
      <c r="D5" s="10" t="inlineStr">
        <is>
          <t>PT-54 VOP File Check</t>
        </is>
      </c>
      <c r="E5" s="10" t="inlineStr">
        <is>
          <t>PT-163</t>
        </is>
      </c>
      <c r="F5" s="10" t="inlineStr">
        <is>
          <t>Get Tasks BFF - API Integration</t>
        </is>
      </c>
      <c r="G5" s="22" t="n">
        <v>20.1333</v>
      </c>
    </row>
    <row r="6">
      <c r="A6" s="10" t="inlineStr">
        <is>
          <t>Pastel de Portal Team</t>
        </is>
      </c>
      <c r="B6" s="10" t="inlineStr">
        <is>
          <t>Vitor Fernandes</t>
        </is>
      </c>
      <c r="C6" s="10" t="inlineStr">
        <is>
          <t>PT-54</t>
        </is>
      </c>
      <c r="D6" s="10" t="inlineStr">
        <is>
          <t>PT-54 VOP File Check</t>
        </is>
      </c>
      <c r="E6" s="10" t="inlineStr">
        <is>
          <t>PT-186</t>
        </is>
      </c>
      <c r="F6" s="10" t="inlineStr">
        <is>
          <t>Show status on the right side of file check s</t>
        </is>
      </c>
      <c r="G6" s="22" t="n">
        <v>11.2</v>
      </c>
    </row>
    <row r="7">
      <c r="A7" s="10" t="inlineStr">
        <is>
          <t>Pastel de Portal Team</t>
        </is>
      </c>
      <c r="B7" s="10" t="inlineStr">
        <is>
          <t>Vitor Fernandes</t>
        </is>
      </c>
      <c r="C7" s="10" t="inlineStr">
        <is>
          <t>PT-54</t>
        </is>
      </c>
      <c r="D7" s="10" t="inlineStr">
        <is>
          <t>PT-54 VOP File Check</t>
        </is>
      </c>
      <c r="E7" s="10" t="inlineStr">
        <is>
          <t>PT-187</t>
        </is>
      </c>
      <c r="F7" s="10" t="inlineStr">
        <is>
          <t>Add pagination to file check screen</t>
        </is>
      </c>
      <c r="G7" s="22" t="n">
        <v>8.800000000000001</v>
      </c>
    </row>
    <row r="8">
      <c r="A8" s="10" t="inlineStr">
        <is>
          <t>Pastel de Portal Team</t>
        </is>
      </c>
      <c r="B8" s="10" t="inlineStr">
        <is>
          <t>Vitor Fernandes</t>
        </is>
      </c>
      <c r="C8" s="10" t="inlineStr">
        <is>
          <t>PT-54</t>
        </is>
      </c>
      <c r="D8" s="10" t="inlineStr">
        <is>
          <t>PT-54 VOP File Check</t>
        </is>
      </c>
      <c r="E8" s="10" t="inlineStr">
        <is>
          <t>PT-166</t>
        </is>
      </c>
      <c r="F8" s="10" t="inlineStr">
        <is>
          <t>Download File - BFF - API Integration</t>
        </is>
      </c>
      <c r="G8" s="22" t="n">
        <v>6.8</v>
      </c>
    </row>
    <row r="9">
      <c r="A9" s="10" t="inlineStr">
        <is>
          <t>Pastel de Portal Team</t>
        </is>
      </c>
      <c r="B9" s="10" t="inlineStr">
        <is>
          <t>Rafael Santos</t>
        </is>
      </c>
      <c r="C9" s="10" t="inlineStr">
        <is>
          <t>PT-54</t>
        </is>
      </c>
      <c r="D9" s="10" t="inlineStr">
        <is>
          <t>PT-54 VOP File Check</t>
        </is>
      </c>
      <c r="E9" s="10" t="inlineStr">
        <is>
          <t>PT-162</t>
        </is>
      </c>
      <c r="F9" s="10" t="inlineStr">
        <is>
          <t>File upload List Screen - FE</t>
        </is>
      </c>
      <c r="G9" s="22" t="n">
        <v>11</v>
      </c>
    </row>
    <row r="10">
      <c r="A10" s="10" t="inlineStr">
        <is>
          <t>Pastel de Portal Team</t>
        </is>
      </c>
      <c r="B10" s="10" t="inlineStr">
        <is>
          <t>Rafael Santos</t>
        </is>
      </c>
      <c r="C10" s="10" t="inlineStr">
        <is>
          <t>PT-54</t>
        </is>
      </c>
      <c r="D10" s="10" t="inlineStr">
        <is>
          <t>PT-54 VOP File Check</t>
        </is>
      </c>
      <c r="E10" s="10" t="inlineStr">
        <is>
          <t>PT-164</t>
        </is>
      </c>
      <c r="F10" s="10" t="inlineStr">
        <is>
          <t>Upload File Screen - FE</t>
        </is>
      </c>
      <c r="G10" s="22" t="n">
        <v>11</v>
      </c>
    </row>
    <row r="11">
      <c r="A11" s="10" t="inlineStr">
        <is>
          <t>Pastel de Portal Team</t>
        </is>
      </c>
      <c r="B11" s="10" t="inlineStr">
        <is>
          <t>Rafael Santos</t>
        </is>
      </c>
      <c r="C11" s="10" t="inlineStr">
        <is>
          <t>PT-54</t>
        </is>
      </c>
      <c r="D11" s="10" t="inlineStr">
        <is>
          <t>PT-54 VOP File Check</t>
        </is>
      </c>
      <c r="E11" s="10" t="inlineStr">
        <is>
          <t>PT-167</t>
        </is>
      </c>
      <c r="F11" s="10" t="inlineStr">
        <is>
          <t>Download File - FE</t>
        </is>
      </c>
      <c r="G11" s="22" t="n">
        <v>11</v>
      </c>
    </row>
    <row r="12">
      <c r="A12" s="10" t="inlineStr">
        <is>
          <t>Pastel de Portal Team</t>
        </is>
      </c>
      <c r="B12" s="10" t="inlineStr">
        <is>
          <t>gustavo.palminha</t>
        </is>
      </c>
      <c r="C12" s="10" t="inlineStr">
        <is>
          <t>PT-22</t>
        </is>
      </c>
      <c r="D12" s="10" t="inlineStr">
        <is>
          <t>PT-22 VOP Single Check</t>
        </is>
      </c>
      <c r="E12" s="10" t="inlineStr">
        <is>
          <t>PT-173</t>
        </is>
      </c>
      <c r="F12" s="10" t="inlineStr">
        <is>
          <t>Connect VoP Single Check to VoP Gateway API</t>
        </is>
      </c>
      <c r="G12" s="22" t="n">
        <v>16.6667</v>
      </c>
    </row>
    <row r="13">
      <c r="A13" s="10" t="inlineStr">
        <is>
          <t>Pastel de Portal Team</t>
        </is>
      </c>
      <c r="B13" s="10" t="inlineStr">
        <is>
          <t>gustavo.palminha</t>
        </is>
      </c>
      <c r="C13" s="10" t="inlineStr">
        <is>
          <t>PT-54</t>
        </is>
      </c>
      <c r="D13" s="10" t="inlineStr">
        <is>
          <t>PT-54 VOP File Check</t>
        </is>
      </c>
      <c r="E13" s="10" t="inlineStr">
        <is>
          <t>PT-166</t>
        </is>
      </c>
      <c r="F13" s="10" t="inlineStr">
        <is>
          <t>Download File - BFF - API Integration</t>
        </is>
      </c>
      <c r="G13" s="22" t="n">
        <v>15.6</v>
      </c>
    </row>
    <row r="14">
      <c r="A14" s="10" t="inlineStr">
        <is>
          <t>Pastel de Portal Team</t>
        </is>
      </c>
      <c r="B14" s="10" t="inlineStr">
        <is>
          <t>Joost Vos</t>
        </is>
      </c>
      <c r="C14" s="10" t="inlineStr">
        <is>
          <t>PT-22</t>
        </is>
      </c>
      <c r="D14" s="10" t="inlineStr">
        <is>
          <t>PT-22 VOP Single Check</t>
        </is>
      </c>
      <c r="E14" s="10" t="inlineStr">
        <is>
          <t>PT-23</t>
        </is>
      </c>
      <c r="F14" s="10" t="inlineStr">
        <is>
          <t>Redesign VOP Messages</t>
        </is>
      </c>
      <c r="G14" s="22" t="n">
        <v>28.9143</v>
      </c>
    </row>
    <row r="15">
      <c r="A15" s="10" t="inlineStr">
        <is>
          <t>Pastel de Portal Team</t>
        </is>
      </c>
      <c r="B15" s="10" t="inlineStr">
        <is>
          <t>alan.silva</t>
        </is>
      </c>
      <c r="C15" s="10" t="inlineStr">
        <is>
          <t>PT-54</t>
        </is>
      </c>
      <c r="D15" s="10" t="inlineStr">
        <is>
          <t>PT-54 VOP File Check</t>
        </is>
      </c>
      <c r="E15" s="10" t="inlineStr">
        <is>
          <t>PT-163</t>
        </is>
      </c>
      <c r="F15" s="10" t="inlineStr">
        <is>
          <t>Get Tasks BFF - API Integration</t>
        </is>
      </c>
      <c r="G15" s="22" t="n">
        <v>3.2</v>
      </c>
    </row>
    <row r="16">
      <c r="A16" s="10" t="inlineStr">
        <is>
          <t>Pastel de Portal Team</t>
        </is>
      </c>
      <c r="B16" s="10" t="inlineStr">
        <is>
          <t>alan.silva</t>
        </is>
      </c>
      <c r="C16" s="10" t="inlineStr">
        <is>
          <t>PT-54</t>
        </is>
      </c>
      <c r="D16" s="10" t="inlineStr">
        <is>
          <t>PT-54 VOP File Check</t>
        </is>
      </c>
      <c r="E16" s="10" t="inlineStr">
        <is>
          <t>PT-165</t>
        </is>
      </c>
      <c r="F16" s="10" t="inlineStr">
        <is>
          <t>Upload File - BFF - API Integration</t>
        </is>
      </c>
      <c r="G16" s="22" t="n">
        <v>3.2</v>
      </c>
    </row>
    <row r="17">
      <c r="A17" s="10" t="inlineStr">
        <is>
          <t>Pastel de Portal Team</t>
        </is>
      </c>
      <c r="B17" s="10" t="inlineStr">
        <is>
          <t>alan.silva</t>
        </is>
      </c>
      <c r="C17" s="10" t="inlineStr">
        <is>
          <t>PT-54</t>
        </is>
      </c>
      <c r="D17" s="10" t="inlineStr">
        <is>
          <t>PT-54 VOP File Check</t>
        </is>
      </c>
      <c r="E17" s="10" t="inlineStr">
        <is>
          <t>PT-166</t>
        </is>
      </c>
      <c r="F17" s="10" t="inlineStr">
        <is>
          <t>Download File - BFF - API Integration</t>
        </is>
      </c>
      <c r="G17" s="22" t="n">
        <v>3.2</v>
      </c>
    </row>
    <row r="18">
      <c r="A18" s="10" t="inlineStr">
        <is>
          <t>Team Horizon</t>
        </is>
      </c>
      <c r="B18" s="10" t="inlineStr">
        <is>
          <t>Ryan Shepherd</t>
        </is>
      </c>
      <c r="C18" s="10" t="inlineStr">
        <is>
          <t>SUK-5337</t>
        </is>
      </c>
      <c r="D18" s="10" t="inlineStr">
        <is>
          <t xml:space="preserve">SUK-5337 VOP EDS Integration Implementation </t>
        </is>
      </c>
      <c r="E18" s="10" t="inlineStr">
        <is>
          <t>SUK-5339</t>
        </is>
      </c>
      <c r="F18" s="10" t="inlineStr">
        <is>
          <t>Lambda Integration with EDS for VOP Requester</t>
        </is>
      </c>
      <c r="G18" s="22" t="n">
        <v>78.66670000000001</v>
      </c>
    </row>
    <row r="19">
      <c r="A19" s="10" t="inlineStr">
        <is>
          <t>Team Horizon</t>
        </is>
      </c>
      <c r="B19" s="10" t="inlineStr">
        <is>
          <t>Ryan Shepherd</t>
        </is>
      </c>
      <c r="C19" s="10" t="inlineStr">
        <is>
          <t>SUK-5337</t>
        </is>
      </c>
      <c r="D19" s="10" t="inlineStr">
        <is>
          <t xml:space="preserve">SUK-5337 VOP EDS Integration Implementation </t>
        </is>
      </c>
      <c r="E19" s="10" t="inlineStr">
        <is>
          <t>SUK-5412</t>
        </is>
      </c>
      <c r="F19" s="10" t="inlineStr">
        <is>
          <t>EDS lambda fix security findings (app)</t>
        </is>
      </c>
      <c r="G19" s="22" t="n">
        <v>40</v>
      </c>
    </row>
    <row r="20">
      <c r="A20" s="10" t="inlineStr">
        <is>
          <t>Team Horizon</t>
        </is>
      </c>
      <c r="B20" s="10" t="inlineStr">
        <is>
          <t>Ryan Shepherd</t>
        </is>
      </c>
      <c r="C20" s="10" t="inlineStr">
        <is>
          <t>SUK-5337</t>
        </is>
      </c>
      <c r="D20" s="10" t="inlineStr">
        <is>
          <t xml:space="preserve">SUK-5337 VOP EDS Integration Implementation </t>
        </is>
      </c>
      <c r="E20" s="10" t="inlineStr">
        <is>
          <t>SUK-5338</t>
        </is>
      </c>
      <c r="F20" s="10" t="inlineStr">
        <is>
          <t>Lambda Integration with EDS for VOP Responder</t>
        </is>
      </c>
      <c r="G20" s="22" t="n">
        <v>22.6667</v>
      </c>
    </row>
    <row r="21">
      <c r="A21" s="10" t="inlineStr">
        <is>
          <t>Team Horizon</t>
        </is>
      </c>
      <c r="B21" s="10" t="inlineStr">
        <is>
          <t>Julian Mulder</t>
        </is>
      </c>
      <c r="C21" s="10" t="inlineStr">
        <is>
          <t>SUK-5337</t>
        </is>
      </c>
      <c r="D21" s="10" t="inlineStr">
        <is>
          <t xml:space="preserve">SUK-5337 VOP EDS Integration Implementation </t>
        </is>
      </c>
      <c r="E21" s="10" t="inlineStr">
        <is>
          <t>SUK-5372</t>
        </is>
      </c>
      <c r="F21" s="10" t="inlineStr">
        <is>
          <t>ART Pilot Testing</t>
        </is>
      </c>
      <c r="G21" s="22" t="n">
        <v>46.6667</v>
      </c>
    </row>
    <row r="22">
      <c r="A22" s="10" t="inlineStr">
        <is>
          <t>Team Horizon</t>
        </is>
      </c>
      <c r="B22" s="10" t="inlineStr">
        <is>
          <t>Prabhukiran Narava</t>
        </is>
      </c>
      <c r="C22" s="10" t="inlineStr">
        <is>
          <t>SUK-5337</t>
        </is>
      </c>
      <c r="D22" s="10" t="inlineStr">
        <is>
          <t xml:space="preserve">SUK-5337 VOP EDS Integration Implementation </t>
        </is>
      </c>
      <c r="E22" s="10" t="inlineStr">
        <is>
          <t>SUK-5372</t>
        </is>
      </c>
      <c r="F22" s="10" t="inlineStr">
        <is>
          <t>ART Pilot Testing</t>
        </is>
      </c>
      <c r="G22" s="22" t="n">
        <v>31.3333</v>
      </c>
    </row>
    <row r="23">
      <c r="A23" s="10" t="inlineStr">
        <is>
          <t>Team Horizon</t>
        </is>
      </c>
      <c r="B23" s="10" t="inlineStr">
        <is>
          <t>Prabhukiran Narava</t>
        </is>
      </c>
      <c r="C23" s="10" t="inlineStr">
        <is>
          <t>SUK-5337</t>
        </is>
      </c>
      <c r="D23" s="10" t="inlineStr">
        <is>
          <t xml:space="preserve">SUK-5337 VOP EDS Integration Implementation </t>
        </is>
      </c>
      <c r="E23" s="10" t="inlineStr">
        <is>
          <t>SUK-5412</t>
        </is>
      </c>
      <c r="F23" s="10" t="inlineStr">
        <is>
          <t>EDS lambda fix security findings (app)</t>
        </is>
      </c>
      <c r="G23" s="22" t="n">
        <v>6</v>
      </c>
    </row>
    <row r="24">
      <c r="A24" s="10" t="inlineStr">
        <is>
          <t>Team Horizon</t>
        </is>
      </c>
      <c r="B24" s="10" t="inlineStr">
        <is>
          <t>Prabhukiran Narava</t>
        </is>
      </c>
      <c r="C24" s="10" t="inlineStr">
        <is>
          <t>SUK-5337</t>
        </is>
      </c>
      <c r="D24" s="10" t="inlineStr">
        <is>
          <t xml:space="preserve">SUK-5337 VOP EDS Integration Implementation </t>
        </is>
      </c>
      <c r="E24" s="10" t="inlineStr">
        <is>
          <t>SUK-5341</t>
        </is>
      </c>
      <c r="F24" s="10" t="inlineStr">
        <is>
          <t>E2E Test Prep for EDS Integration - Responder</t>
        </is>
      </c>
      <c r="G24" s="22" t="n">
        <v>2.6667</v>
      </c>
    </row>
    <row r="25">
      <c r="A25" s="10" t="inlineStr">
        <is>
          <t>Team Horizon</t>
        </is>
      </c>
      <c r="B25" s="10" t="inlineStr">
        <is>
          <t>Santosh Kotkar</t>
        </is>
      </c>
      <c r="C25" s="10" t="inlineStr">
        <is>
          <t>SUK-5337</t>
        </is>
      </c>
      <c r="D25" s="10" t="inlineStr">
        <is>
          <t xml:space="preserve">SUK-5337 VOP EDS Integration Implementation </t>
        </is>
      </c>
      <c r="E25" s="10" t="inlineStr">
        <is>
          <t>SUK-5393</t>
        </is>
      </c>
      <c r="F25" s="10" t="inlineStr">
        <is>
          <t>EDS Pilot testing - Onboarding /Registration/</t>
        </is>
      </c>
      <c r="G25" s="22" t="n">
        <v>32</v>
      </c>
    </row>
    <row r="26">
      <c r="A26" s="10" t="inlineStr">
        <is>
          <t>Team Horizon</t>
        </is>
      </c>
      <c r="B26" s="10" t="inlineStr">
        <is>
          <t>Sanjay Chaudhary</t>
        </is>
      </c>
      <c r="C26" s="10" t="inlineStr">
        <is>
          <t>SUK-5337</t>
        </is>
      </c>
      <c r="D26" s="10" t="inlineStr">
        <is>
          <t xml:space="preserve">SUK-5337 VOP EDS Integration Implementation </t>
        </is>
      </c>
      <c r="E26" s="10" t="inlineStr">
        <is>
          <t>SUK-5366</t>
        </is>
      </c>
      <c r="F26" s="10" t="inlineStr">
        <is>
          <t xml:space="preserve">Setup Jenkins pipeline + basic infra for EDS </t>
        </is>
      </c>
      <c r="G26" s="22" t="n">
        <v>10.8889</v>
      </c>
    </row>
    <row r="27">
      <c r="A27" s="10" t="inlineStr">
        <is>
          <t>Team Horizon</t>
        </is>
      </c>
      <c r="B27" s="10" t="inlineStr">
        <is>
          <t>Nikolay Antonov</t>
        </is>
      </c>
      <c r="C27" s="10" t="inlineStr">
        <is>
          <t>SUK-5337</t>
        </is>
      </c>
      <c r="D27" s="10" t="inlineStr">
        <is>
          <t xml:space="preserve">SUK-5337 VOP EDS Integration Implementation </t>
        </is>
      </c>
      <c r="E27" s="10" t="inlineStr">
        <is>
          <t>SUK-5407</t>
        </is>
      </c>
      <c r="F27" s="10" t="inlineStr">
        <is>
          <t xml:space="preserve">EDS Directory Processor - Security review of </t>
        </is>
      </c>
      <c r="G27" s="22" t="n">
        <v>5.1556</v>
      </c>
    </row>
    <row r="28">
      <c r="A28" s="10" t="inlineStr">
        <is>
          <t>Team Horizon</t>
        </is>
      </c>
      <c r="B28" s="10" t="inlineStr">
        <is>
          <t>Nikolay Antonov</t>
        </is>
      </c>
      <c r="C28" s="10" t="inlineStr">
        <is>
          <t>SUK-5337</t>
        </is>
      </c>
      <c r="D28" s="10" t="inlineStr">
        <is>
          <t xml:space="preserve">SUK-5337 VOP EDS Integration Implementation </t>
        </is>
      </c>
      <c r="E28" s="10" t="inlineStr">
        <is>
          <t>SUK-5379</t>
        </is>
      </c>
      <c r="F28" s="10" t="inlineStr">
        <is>
          <t>Slack Notification for EDS Directory Processo</t>
        </is>
      </c>
      <c r="G28" s="22" t="n">
        <v>1.7778</v>
      </c>
    </row>
    <row r="29">
      <c r="A29" s="10" t="inlineStr">
        <is>
          <t>Team Horizon</t>
        </is>
      </c>
      <c r="B29" s="10" t="inlineStr">
        <is>
          <t>Nikolay Antonov</t>
        </is>
      </c>
      <c r="C29" s="10" t="inlineStr">
        <is>
          <t>SUK-5337</t>
        </is>
      </c>
      <c r="D29" s="10" t="inlineStr">
        <is>
          <t xml:space="preserve">SUK-5337 VOP EDS Integration Implementation </t>
        </is>
      </c>
      <c r="E29" s="10" t="inlineStr">
        <is>
          <t>SUK-5366</t>
        </is>
      </c>
      <c r="F29" s="10" t="inlineStr">
        <is>
          <t xml:space="preserve">Setup Jenkins pipeline + basic infra for EDS </t>
        </is>
      </c>
      <c r="G29" s="22" t="n">
        <v>1.5273</v>
      </c>
    </row>
    <row r="30">
      <c r="A30" s="10" t="inlineStr">
        <is>
          <t>Team Ikigai</t>
        </is>
      </c>
      <c r="B30" s="10" t="inlineStr">
        <is>
          <t>Elisabeth Gie</t>
        </is>
      </c>
      <c r="C30" s="10" t="inlineStr">
        <is>
          <t>SPD-2749</t>
        </is>
      </c>
      <c r="D30" s="10" t="inlineStr">
        <is>
          <t>SPD-2749 VoP Data Hosting Ingester v1</t>
        </is>
      </c>
      <c r="E30" s="10" t="inlineStr">
        <is>
          <t>SPD-2847</t>
        </is>
      </c>
      <c r="F30" s="10" t="inlineStr">
        <is>
          <t>Change in specs for invalid accounts</t>
        </is>
      </c>
      <c r="G30" s="22" t="n">
        <v>176</v>
      </c>
    </row>
    <row r="31">
      <c r="A31" s="10" t="inlineStr">
        <is>
          <t>Team Ikigai</t>
        </is>
      </c>
      <c r="B31" s="10" t="inlineStr">
        <is>
          <t>Gerard Veldman</t>
        </is>
      </c>
      <c r="C31" s="10" t="inlineStr">
        <is>
          <t>SPD-2724</t>
        </is>
      </c>
      <c r="D31" s="10" t="inlineStr">
        <is>
          <t>SPD-2724 VoP Bulk Checker Iteration 1</t>
        </is>
      </c>
      <c r="E31" s="10" t="inlineStr">
        <is>
          <t>SPD-2997</t>
        </is>
      </c>
      <c r="F31" s="10" t="inlineStr">
        <is>
          <t>Support for PAIN format</t>
        </is>
      </c>
      <c r="G31" s="22" t="n">
        <v>170</v>
      </c>
    </row>
    <row r="32">
      <c r="A32" s="10" t="inlineStr">
        <is>
          <t>Team Ikigai</t>
        </is>
      </c>
      <c r="B32" s="10" t="inlineStr">
        <is>
          <t>Gerard Veldman</t>
        </is>
      </c>
      <c r="C32" s="10" t="inlineStr">
        <is>
          <t>SPD-2724</t>
        </is>
      </c>
      <c r="D32" s="10" t="inlineStr">
        <is>
          <t>SPD-2724 VoP Bulk Checker Iteration 1</t>
        </is>
      </c>
      <c r="E32" s="10" t="inlineStr">
        <is>
          <t>SPD-2975</t>
        </is>
      </c>
      <c r="F32" s="10" t="inlineStr">
        <is>
          <t>rate limiting by country/bank code using iban</t>
        </is>
      </c>
      <c r="G32" s="22" t="n">
        <v>2</v>
      </c>
    </row>
    <row r="33">
      <c r="A33" s="10" t="inlineStr">
        <is>
          <t>Team Ikigai</t>
        </is>
      </c>
      <c r="B33" s="10" t="inlineStr">
        <is>
          <t>Gerard Veldman</t>
        </is>
      </c>
      <c r="C33" s="10" t="inlineStr">
        <is>
          <t>SPD-2724</t>
        </is>
      </c>
      <c r="D33" s="10" t="inlineStr">
        <is>
          <t>SPD-2724 VoP Bulk Checker Iteration 1</t>
        </is>
      </c>
      <c r="E33" s="10" t="inlineStr">
        <is>
          <t>SPD-2980</t>
        </is>
      </c>
      <c r="F33" s="10" t="inlineStr">
        <is>
          <t>Implement CSV preprocessor</t>
        </is>
      </c>
      <c r="G33" s="22" t="n">
        <v>2</v>
      </c>
    </row>
    <row r="34">
      <c r="A34" s="10" t="inlineStr">
        <is>
          <t>Team Ikigai</t>
        </is>
      </c>
      <c r="B34" s="10" t="inlineStr">
        <is>
          <t>Gerard Veldman</t>
        </is>
      </c>
      <c r="C34" s="10" t="inlineStr">
        <is>
          <t>SPD-2724</t>
        </is>
      </c>
      <c r="D34" s="10" t="inlineStr">
        <is>
          <t>SPD-2724 VoP Bulk Checker Iteration 1</t>
        </is>
      </c>
      <c r="E34" s="10" t="inlineStr">
        <is>
          <t>SPD-2996</t>
        </is>
      </c>
      <c r="F34" s="10" t="inlineStr">
        <is>
          <t>Support for CSV format</t>
        </is>
      </c>
      <c r="G34" s="22" t="n">
        <v>2</v>
      </c>
    </row>
    <row r="35">
      <c r="A35" s="10" t="inlineStr">
        <is>
          <t>Team Ikigai</t>
        </is>
      </c>
      <c r="B35" s="10" t="inlineStr">
        <is>
          <t>Diego Silva</t>
        </is>
      </c>
      <c r="C35" s="10" t="inlineStr">
        <is>
          <t>SPD-2716</t>
        </is>
      </c>
      <c r="D35" s="10" t="inlineStr">
        <is>
          <t>SPD-2716 VoP Data Hosting Interation 1</t>
        </is>
      </c>
      <c r="E35" s="10" t="inlineStr">
        <is>
          <t>SPD-3060</t>
        </is>
      </c>
      <c r="F35" s="10" t="inlineStr">
        <is>
          <t>Observability to VOP DataHosting OpenSearch C</t>
        </is>
      </c>
      <c r="G35" s="22" t="n">
        <v>18.6667</v>
      </c>
    </row>
    <row r="36">
      <c r="A36" s="10" t="inlineStr">
        <is>
          <t>Team Ikigai</t>
        </is>
      </c>
      <c r="B36" s="10" t="inlineStr">
        <is>
          <t>Diego Silva</t>
        </is>
      </c>
      <c r="C36" s="10" t="inlineStr">
        <is>
          <t>SPD-2716</t>
        </is>
      </c>
      <c r="D36" s="10" t="inlineStr">
        <is>
          <t>SPD-2716 VoP Data Hosting Interation 1</t>
        </is>
      </c>
      <c r="E36" s="10" t="inlineStr">
        <is>
          <t>SPD-3062</t>
        </is>
      </c>
      <c r="F36" s="10" t="inlineStr">
        <is>
          <t>Create Alarms for OS Vop DH</t>
        </is>
      </c>
      <c r="G36" s="22" t="n">
        <v>18.6667</v>
      </c>
    </row>
    <row r="37">
      <c r="A37" s="10" t="inlineStr">
        <is>
          <t>Team Ikigai</t>
        </is>
      </c>
      <c r="B37" s="10" t="inlineStr">
        <is>
          <t>Diego Silva</t>
        </is>
      </c>
      <c r="C37" s="10" t="inlineStr">
        <is>
          <t>SPD-2716</t>
        </is>
      </c>
      <c r="D37" s="10" t="inlineStr">
        <is>
          <t>SPD-2716 VoP Data Hosting Interation 1</t>
        </is>
      </c>
      <c r="E37" s="10" t="inlineStr">
        <is>
          <t>SPD-2963</t>
        </is>
      </c>
      <c r="F37" s="10" t="inlineStr">
        <is>
          <t>Enable S3 malware scans for Data Hosting</t>
        </is>
      </c>
      <c r="G37" s="22" t="n">
        <v>14.6667</v>
      </c>
    </row>
    <row r="38">
      <c r="A38" s="10" t="inlineStr">
        <is>
          <t>Team Ikigai</t>
        </is>
      </c>
      <c r="B38" s="10" t="inlineStr">
        <is>
          <t>Diego Silva</t>
        </is>
      </c>
      <c r="C38" s="10" t="inlineStr">
        <is>
          <t>SPD-2716</t>
        </is>
      </c>
      <c r="D38" s="10" t="inlineStr">
        <is>
          <t>SPD-2716 VoP Data Hosting Interation 1</t>
        </is>
      </c>
      <c r="E38" s="10" t="inlineStr">
        <is>
          <t>SPD-3029</t>
        </is>
      </c>
      <c r="F38" s="10" t="inlineStr">
        <is>
          <t>Increase Data Hosting Resources on ACC for BE</t>
        </is>
      </c>
      <c r="G38" s="22" t="n">
        <v>4.2667</v>
      </c>
    </row>
    <row r="39">
      <c r="A39" s="10" t="inlineStr">
        <is>
          <t>Team Ikigai</t>
        </is>
      </c>
      <c r="B39" s="10" t="inlineStr">
        <is>
          <t>Diego Silva</t>
        </is>
      </c>
      <c r="C39" s="10" t="inlineStr">
        <is>
          <t>SPD-2716</t>
        </is>
      </c>
      <c r="D39" s="10" t="inlineStr">
        <is>
          <t>SPD-2716 VoP Data Hosting Interation 1</t>
        </is>
      </c>
      <c r="E39" s="10" t="inlineStr">
        <is>
          <t>SPD-3031</t>
        </is>
      </c>
      <c r="F39" s="10" t="inlineStr">
        <is>
          <t>Setup Observability to Vop Datahosting API</t>
        </is>
      </c>
      <c r="G39" s="22" t="n">
        <v>4</v>
      </c>
    </row>
    <row r="40">
      <c r="A40" s="10" t="inlineStr">
        <is>
          <t>Team Ikigai</t>
        </is>
      </c>
      <c r="B40" s="10" t="inlineStr">
        <is>
          <t>Diego Silva</t>
        </is>
      </c>
      <c r="C40" s="10" t="inlineStr">
        <is>
          <t>SPD-2716</t>
        </is>
      </c>
      <c r="D40" s="10" t="inlineStr">
        <is>
          <t>SPD-2716 VoP Data Hosting Interation 1</t>
        </is>
      </c>
      <c r="E40" s="10" t="inlineStr">
        <is>
          <t>SPD-3030</t>
        </is>
      </c>
      <c r="F40" s="10" t="inlineStr">
        <is>
          <t>Scale Down BE Data Hosting ACC</t>
        </is>
      </c>
      <c r="G40" s="22" t="n">
        <v>1.6</v>
      </c>
    </row>
    <row r="41">
      <c r="A41" s="10" t="inlineStr">
        <is>
          <t>Team Ikigai</t>
        </is>
      </c>
      <c r="B41" s="10" t="inlineStr">
        <is>
          <t>Diego Silva</t>
        </is>
      </c>
      <c r="C41" s="10" t="inlineStr">
        <is>
          <t>SPD-2724</t>
        </is>
      </c>
      <c r="D41" s="10" t="inlineStr">
        <is>
          <t>SPD-2724 VoP Bulk Checker Iteration 1</t>
        </is>
      </c>
      <c r="E41" s="10" t="inlineStr">
        <is>
          <t>SPD-2964</t>
        </is>
      </c>
      <c r="F41" s="10" t="inlineStr">
        <is>
          <t>Enable S3 malware scans for Bulk API buckets</t>
        </is>
      </c>
      <c r="G41" s="22" t="n">
        <v>13.6</v>
      </c>
    </row>
    <row r="42">
      <c r="A42" s="10" t="inlineStr">
        <is>
          <t>Team Ikigai</t>
        </is>
      </c>
      <c r="B42" s="10" t="inlineStr">
        <is>
          <t>Diego Silva</t>
        </is>
      </c>
      <c r="C42" s="10" t="inlineStr">
        <is>
          <t>SPD-2724</t>
        </is>
      </c>
      <c r="D42" s="10" t="inlineStr">
        <is>
          <t>SPD-2724 VoP Bulk Checker Iteration 1</t>
        </is>
      </c>
      <c r="E42" s="10" t="inlineStr">
        <is>
          <t>SPD-3022</t>
        </is>
      </c>
      <c r="F42" s="10" t="inlineStr">
        <is>
          <t>Enable SonarQube for VoP Bulk Checker</t>
        </is>
      </c>
      <c r="G42" s="22" t="n">
        <v>9.333299999999999</v>
      </c>
    </row>
    <row r="43">
      <c r="A43" s="10" t="inlineStr">
        <is>
          <t>Team Ikigai</t>
        </is>
      </c>
      <c r="B43" s="10" t="inlineStr">
        <is>
          <t>Diego Silva</t>
        </is>
      </c>
      <c r="C43" s="10" t="inlineStr">
        <is>
          <t>SPD-2749</t>
        </is>
      </c>
      <c r="D43" s="10" t="inlineStr">
        <is>
          <t>SPD-2749 VoP Data Hosting Ingester v1</t>
        </is>
      </c>
      <c r="E43" s="10" t="inlineStr">
        <is>
          <t>SPD-2828</t>
        </is>
      </c>
      <c r="F43" s="10" t="inlineStr">
        <is>
          <t xml:space="preserve">ECS Cluster Documentation </t>
        </is>
      </c>
      <c r="G43" s="22" t="n">
        <v>86.9333</v>
      </c>
    </row>
    <row r="44">
      <c r="A44" s="10" t="inlineStr">
        <is>
          <t>Team Ikigai</t>
        </is>
      </c>
      <c r="B44" s="10" t="inlineStr">
        <is>
          <t>Juanma Tastzian</t>
        </is>
      </c>
      <c r="C44" s="10" t="inlineStr">
        <is>
          <t>SPD-2716</t>
        </is>
      </c>
      <c r="D44" s="10" t="inlineStr">
        <is>
          <t>SPD-2716 VoP Data Hosting Interation 1</t>
        </is>
      </c>
      <c r="E44" s="10" t="inlineStr">
        <is>
          <t>SPD-2966</t>
        </is>
      </c>
      <c r="F44" s="10" t="inlineStr">
        <is>
          <t>Implement audit logging for VoP Data Hosting</t>
        </is>
      </c>
      <c r="G44" s="22" t="n">
        <v>148</v>
      </c>
    </row>
    <row r="45">
      <c r="A45" s="10" t="inlineStr">
        <is>
          <t>Team Ikigai</t>
        </is>
      </c>
      <c r="B45" s="10" t="inlineStr">
        <is>
          <t>Juanma Tastzian</t>
        </is>
      </c>
      <c r="C45" s="10" t="inlineStr">
        <is>
          <t>SPD-2716</t>
        </is>
      </c>
      <c r="D45" s="10" t="inlineStr">
        <is>
          <t>SPD-2716 VoP Data Hosting Interation 1</t>
        </is>
      </c>
      <c r="E45" s="10" t="inlineStr">
        <is>
          <t>SPD-2983</t>
        </is>
      </c>
      <c r="F45" s="10" t="inlineStr">
        <is>
          <t>Bank Van Breda/Nagelmackers ACC "File was not</t>
        </is>
      </c>
      <c r="G45" s="22" t="n">
        <v>16</v>
      </c>
    </row>
    <row r="46">
      <c r="A46" s="10" t="inlineStr">
        <is>
          <t>Team Ikigai</t>
        </is>
      </c>
      <c r="B46" s="10" t="inlineStr">
        <is>
          <t>Juanma Tastzian</t>
        </is>
      </c>
      <c r="C46" s="10" t="inlineStr">
        <is>
          <t>SPD-2716</t>
        </is>
      </c>
      <c r="D46" s="10" t="inlineStr">
        <is>
          <t>SPD-2716 VoP Data Hosting Interation 1</t>
        </is>
      </c>
      <c r="E46" s="10" t="inlineStr">
        <is>
          <t>SPD-2729</t>
        </is>
      </c>
      <c r="F46" s="10" t="inlineStr">
        <is>
          <t>Create audit logging specifications</t>
        </is>
      </c>
      <c r="G46" s="22" t="n">
        <v>4</v>
      </c>
    </row>
    <row r="47">
      <c r="A47" s="10" t="inlineStr">
        <is>
          <t>Team Ikigai</t>
        </is>
      </c>
      <c r="B47" s="10" t="inlineStr">
        <is>
          <t>Sridhar Gnanasekaran</t>
        </is>
      </c>
      <c r="C47" s="10" t="inlineStr">
        <is>
          <t>SPD-2716</t>
        </is>
      </c>
      <c r="D47" s="10" t="inlineStr">
        <is>
          <t>SPD-2716 VoP Data Hosting Interation 1</t>
        </is>
      </c>
      <c r="E47" s="10" t="inlineStr">
        <is>
          <t>SPD-2881</t>
        </is>
      </c>
      <c r="F47" s="10" t="inlineStr">
        <is>
          <t>Ingesting a large (20M records) file does not</t>
        </is>
      </c>
      <c r="G47" s="22" t="n">
        <v>168</v>
      </c>
    </row>
    <row r="48">
      <c r="A48" s="10" t="inlineStr">
        <is>
          <t>Team Ikigai</t>
        </is>
      </c>
      <c r="B48" s="10" t="inlineStr">
        <is>
          <t>borys.rudenko</t>
        </is>
      </c>
      <c r="C48" s="10" t="inlineStr">
        <is>
          <t>SPD-2724</t>
        </is>
      </c>
      <c r="D48" s="10" t="inlineStr">
        <is>
          <t>SPD-2724 VoP Bulk Checker Iteration 1</t>
        </is>
      </c>
      <c r="E48" s="10" t="inlineStr">
        <is>
          <t>SPD-3000</t>
        </is>
      </c>
      <c r="F48" s="10" t="inlineStr">
        <is>
          <t>Implement Audit Logging</t>
        </is>
      </c>
      <c r="G48" s="22" t="n">
        <v>116</v>
      </c>
    </row>
    <row r="49">
      <c r="A49" s="10" t="inlineStr">
        <is>
          <t>Team Ikigai</t>
        </is>
      </c>
      <c r="B49" s="10" t="inlineStr">
        <is>
          <t>borys.rudenko</t>
        </is>
      </c>
      <c r="C49" s="10" t="inlineStr">
        <is>
          <t>SPD-2834</t>
        </is>
      </c>
      <c r="D49" s="10" t="inlineStr">
        <is>
          <t>SPD-2834 VoP Data Hosting Iteration 2</t>
        </is>
      </c>
      <c r="E49" s="10" t="inlineStr">
        <is>
          <t>SPD-3001</t>
        </is>
      </c>
      <c r="F49" s="10" t="inlineStr">
        <is>
          <t>Solution design Multiple Countries One File</t>
        </is>
      </c>
      <c r="G49" s="22" t="n">
        <v>32</v>
      </c>
    </row>
    <row r="50">
      <c r="A50" s="10" t="inlineStr">
        <is>
          <t>Team Ikigai</t>
        </is>
      </c>
      <c r="B50" s="10" t="inlineStr">
        <is>
          <t>borys.rudenko</t>
        </is>
      </c>
      <c r="C50" s="10" t="inlineStr">
        <is>
          <t>SPD-2834</t>
        </is>
      </c>
      <c r="D50" s="10" t="inlineStr">
        <is>
          <t>SPD-2834 VoP Data Hosting Iteration 2</t>
        </is>
      </c>
      <c r="E50" s="10" t="inlineStr">
        <is>
          <t>SPD-3032</t>
        </is>
      </c>
      <c r="F50" s="10" t="inlineStr">
        <is>
          <t>Implement Elastic Observability for vop-datah</t>
        </is>
      </c>
      <c r="G50" s="22" t="n">
        <v>20</v>
      </c>
    </row>
    <row r="51">
      <c r="A51" s="10" t="inlineStr">
        <is>
          <t>Team Ikigai</t>
        </is>
      </c>
      <c r="B51" s="10" t="inlineStr">
        <is>
          <t>Manali Shah</t>
        </is>
      </c>
      <c r="C51" s="10" t="inlineStr">
        <is>
          <t>SPD-2716</t>
        </is>
      </c>
      <c r="D51" s="10" t="inlineStr">
        <is>
          <t>SPD-2716 VoP Data Hosting Interation 1</t>
        </is>
      </c>
      <c r="E51" s="10" t="inlineStr">
        <is>
          <t>SPD-2989</t>
        </is>
      </c>
      <c r="F51" s="10" t="inlineStr">
        <is>
          <t>Ensure the data model is in line with the new</t>
        </is>
      </c>
      <c r="G51" s="22" t="n">
        <v>56</v>
      </c>
    </row>
    <row r="52">
      <c r="A52" s="10" t="inlineStr">
        <is>
          <t>Team Ikigai</t>
        </is>
      </c>
      <c r="B52" s="10" t="inlineStr">
        <is>
          <t>Manali Shah</t>
        </is>
      </c>
      <c r="C52" s="10" t="inlineStr">
        <is>
          <t>SPD-2716</t>
        </is>
      </c>
      <c r="D52" s="10" t="inlineStr">
        <is>
          <t>SPD-2716 VoP Data Hosting Interation 1</t>
        </is>
      </c>
      <c r="E52" s="10" t="inlineStr">
        <is>
          <t>SPD-2729</t>
        </is>
      </c>
      <c r="F52" s="10" t="inlineStr">
        <is>
          <t>Create audit logging specifications</t>
        </is>
      </c>
      <c r="G52" s="22" t="n">
        <v>32</v>
      </c>
    </row>
    <row r="53">
      <c r="A53" s="10" t="inlineStr">
        <is>
          <t>Team Ikigai</t>
        </is>
      </c>
      <c r="B53" s="10" t="inlineStr">
        <is>
          <t>Manali Shah</t>
        </is>
      </c>
      <c r="C53" s="10" t="inlineStr">
        <is>
          <t>SPD-2716</t>
        </is>
      </c>
      <c r="D53" s="10" t="inlineStr">
        <is>
          <t>SPD-2716 VoP Data Hosting Interation 1</t>
        </is>
      </c>
      <c r="E53" s="10" t="inlineStr">
        <is>
          <t>SPD-3054</t>
        </is>
      </c>
      <c r="F53" s="10" t="inlineStr">
        <is>
          <t>[Security Review App] Fix security review fin</t>
        </is>
      </c>
      <c r="G53" s="22" t="n">
        <v>20</v>
      </c>
    </row>
    <row r="54">
      <c r="A54" s="10" t="inlineStr">
        <is>
          <t>Team Ikigai</t>
        </is>
      </c>
      <c r="B54" s="10" t="inlineStr">
        <is>
          <t>Manali Shah</t>
        </is>
      </c>
      <c r="C54" s="10" t="inlineStr">
        <is>
          <t>SPD-2716</t>
        </is>
      </c>
      <c r="D54" s="10" t="inlineStr">
        <is>
          <t>SPD-2716 VoP Data Hosting Interation 1</t>
        </is>
      </c>
      <c r="E54" s="10" t="inlineStr">
        <is>
          <t>SPD-3039</t>
        </is>
      </c>
      <c r="F54" s="10" t="inlineStr">
        <is>
          <t>Create SurePay GPG PRD keys</t>
        </is>
      </c>
      <c r="G54" s="22" t="n">
        <v>8</v>
      </c>
    </row>
    <row r="55">
      <c r="A55" s="10" t="inlineStr">
        <is>
          <t>Team Ikigai</t>
        </is>
      </c>
      <c r="B55" s="10" t="inlineStr">
        <is>
          <t>Manali Shah</t>
        </is>
      </c>
      <c r="C55" s="10" t="inlineStr">
        <is>
          <t>SPD-2834</t>
        </is>
      </c>
      <c r="D55" s="10" t="inlineStr">
        <is>
          <t>SPD-2834 VoP Data Hosting Iteration 2</t>
        </is>
      </c>
      <c r="E55" s="10" t="inlineStr">
        <is>
          <t>SPD-3047</t>
        </is>
      </c>
      <c r="F55" s="10" t="inlineStr">
        <is>
          <t>Change validation for INACTIVE accounts; Chan</t>
        </is>
      </c>
      <c r="G55" s="22" t="n">
        <v>46.6667</v>
      </c>
    </row>
    <row r="56">
      <c r="A56" s="10" t="inlineStr">
        <is>
          <t>Team Ikigai</t>
        </is>
      </c>
      <c r="B56" s="10" t="inlineStr">
        <is>
          <t>Keerthi Shankar</t>
        </is>
      </c>
      <c r="C56" s="10" t="inlineStr">
        <is>
          <t>SPD-2716</t>
        </is>
      </c>
      <c r="D56" s="10" t="inlineStr">
        <is>
          <t>SPD-2716 VoP Data Hosting Interation 1</t>
        </is>
      </c>
      <c r="E56" s="10" t="inlineStr">
        <is>
          <t>SPD-2992</t>
        </is>
      </c>
      <c r="F56" s="10" t="inlineStr">
        <is>
          <t>Reliability Onboarding Pipeline</t>
        </is>
      </c>
      <c r="G56" s="22" t="n">
        <v>88</v>
      </c>
    </row>
    <row r="57">
      <c r="A57" s="10" t="inlineStr">
        <is>
          <t>Team Ikigai</t>
        </is>
      </c>
      <c r="B57" s="10" t="inlineStr">
        <is>
          <t>Keerthi Shankar</t>
        </is>
      </c>
      <c r="C57" s="10" t="inlineStr">
        <is>
          <t>SPD-2716</t>
        </is>
      </c>
      <c r="D57" s="10" t="inlineStr">
        <is>
          <t>SPD-2716 VoP Data Hosting Interation 1</t>
        </is>
      </c>
      <c r="E57" s="10" t="inlineStr">
        <is>
          <t>SPD-3052</t>
        </is>
      </c>
      <c r="F57" s="10" t="inlineStr">
        <is>
          <t>[Security Review Infra] Secrets encrypted wit</t>
        </is>
      </c>
      <c r="G57" s="22" t="n">
        <v>20</v>
      </c>
    </row>
    <row r="58">
      <c r="A58" s="10" t="inlineStr">
        <is>
          <t>Team Ikigai</t>
        </is>
      </c>
      <c r="B58" s="10" t="inlineStr">
        <is>
          <t>Keerthi Shankar</t>
        </is>
      </c>
      <c r="C58" s="10" t="inlineStr">
        <is>
          <t>SPD-2716</t>
        </is>
      </c>
      <c r="D58" s="10" t="inlineStr">
        <is>
          <t>SPD-2716 VoP Data Hosting Interation 1</t>
        </is>
      </c>
      <c r="E58" s="10" t="inlineStr">
        <is>
          <t>SPD-3051</t>
        </is>
      </c>
      <c r="F58" s="10" t="inlineStr">
        <is>
          <t>[Security Review Infra] Create a service role</t>
        </is>
      </c>
      <c r="G58" s="22" t="n">
        <v>8</v>
      </c>
    </row>
    <row r="59">
      <c r="A59" s="10" t="inlineStr">
        <is>
          <t>Team Ikigai</t>
        </is>
      </c>
      <c r="B59" s="10" t="inlineStr">
        <is>
          <t>Keerthi Shankar</t>
        </is>
      </c>
      <c r="C59" s="10" t="inlineStr">
        <is>
          <t>SPD-2716</t>
        </is>
      </c>
      <c r="D59" s="10" t="inlineStr">
        <is>
          <t>SPD-2716 VoP Data Hosting Interation 1</t>
        </is>
      </c>
      <c r="E59" s="10" t="inlineStr">
        <is>
          <t>SPD-2891</t>
        </is>
      </c>
      <c r="F59" s="10" t="inlineStr">
        <is>
          <t>Add logging to opensearch cluster</t>
        </is>
      </c>
      <c r="G59" s="22" t="n">
        <v>4</v>
      </c>
    </row>
    <row r="60">
      <c r="A60" s="10" t="inlineStr">
        <is>
          <t>Team Ikigai</t>
        </is>
      </c>
      <c r="B60" s="10" t="inlineStr">
        <is>
          <t>Keerthi Shankar</t>
        </is>
      </c>
      <c r="C60" s="10" t="inlineStr">
        <is>
          <t>SPD-2716</t>
        </is>
      </c>
      <c r="D60" s="10" t="inlineStr">
        <is>
          <t>SPD-2716 VoP Data Hosting Interation 1</t>
        </is>
      </c>
      <c r="E60" s="10" t="inlineStr">
        <is>
          <t>SPD-3059</t>
        </is>
      </c>
      <c r="F60" s="10" t="inlineStr">
        <is>
          <t>PRD Release VoP Data Hosting</t>
        </is>
      </c>
      <c r="G60" s="22" t="n">
        <v>4</v>
      </c>
    </row>
    <row r="61">
      <c r="A61" s="10" t="inlineStr">
        <is>
          <t>Team Ikigai</t>
        </is>
      </c>
      <c r="B61" s="10" t="inlineStr">
        <is>
          <t>Chaitanya Sagi</t>
        </is>
      </c>
      <c r="C61" s="10" t="inlineStr">
        <is>
          <t>SPD-2716</t>
        </is>
      </c>
      <c r="D61" s="10" t="inlineStr">
        <is>
          <t>SPD-2716 VoP Data Hosting Interation 1</t>
        </is>
      </c>
      <c r="E61" s="10" t="inlineStr">
        <is>
          <t>SPD-2878</t>
        </is>
      </c>
      <c r="F61" s="10" t="inlineStr">
        <is>
          <t>Create a separate stack for S3</t>
        </is>
      </c>
      <c r="G61" s="22" t="n">
        <v>64</v>
      </c>
    </row>
    <row r="62">
      <c r="A62" s="10" t="inlineStr">
        <is>
          <t>Team Ikigai</t>
        </is>
      </c>
      <c r="B62" s="10" t="inlineStr">
        <is>
          <t>Chaitanya Sagi</t>
        </is>
      </c>
      <c r="C62" s="10" t="inlineStr">
        <is>
          <t>SPD-2716</t>
        </is>
      </c>
      <c r="D62" s="10" t="inlineStr">
        <is>
          <t>SPD-2716 VoP Data Hosting Interation 1</t>
        </is>
      </c>
      <c r="E62" s="10" t="inlineStr">
        <is>
          <t>SPD-3058</t>
        </is>
      </c>
      <c r="F62" s="10" t="inlineStr">
        <is>
          <t>PRD Release Preparation</t>
        </is>
      </c>
      <c r="G62" s="22" t="n">
        <v>7.3333</v>
      </c>
    </row>
    <row r="63">
      <c r="A63" s="10" t="inlineStr">
        <is>
          <t>Team Ikigai</t>
        </is>
      </c>
      <c r="B63" s="10" t="inlineStr">
        <is>
          <t>Chaitanya Sagi</t>
        </is>
      </c>
      <c r="C63" s="10" t="inlineStr">
        <is>
          <t>SPD-2724</t>
        </is>
      </c>
      <c r="D63" s="10" t="inlineStr">
        <is>
          <t>SPD-2724 VoP Bulk Checker Iteration 1</t>
        </is>
      </c>
      <c r="E63" s="10" t="inlineStr">
        <is>
          <t>SPD-3023</t>
        </is>
      </c>
      <c r="F63" s="10" t="inlineStr">
        <is>
          <t>Refactor VoP Bulkchecker Infra</t>
        </is>
      </c>
      <c r="G63" s="22" t="n">
        <v>28.6667</v>
      </c>
    </row>
    <row r="64">
      <c r="A64" s="10" t="inlineStr">
        <is>
          <t>Team Ikigai</t>
        </is>
      </c>
      <c r="B64" s="10" t="inlineStr">
        <is>
          <t>Chaitanya Sagi</t>
        </is>
      </c>
      <c r="C64" s="10" t="inlineStr">
        <is>
          <t>SPD-2724</t>
        </is>
      </c>
      <c r="D64" s="10" t="inlineStr">
        <is>
          <t>SPD-2724 VoP Bulk Checker Iteration 1</t>
        </is>
      </c>
      <c r="E64" s="10" t="inlineStr">
        <is>
          <t>SPD-2998</t>
        </is>
      </c>
      <c r="F64" s="10" t="inlineStr">
        <is>
          <t>Support for Portal to VoP Bulk API integratio</t>
        </is>
      </c>
      <c r="G64" s="22" t="n">
        <v>15.3333</v>
      </c>
    </row>
    <row r="65">
      <c r="A65" s="10" t="inlineStr">
        <is>
          <t>Team Samba</t>
        </is>
      </c>
      <c r="B65" s="10" t="inlineStr">
        <is>
          <t>Adorjan Fritz</t>
        </is>
      </c>
      <c r="C65" s="10" t="inlineStr">
        <is>
          <t>SDO-6876</t>
        </is>
      </c>
      <c r="D65" s="10" t="inlineStr">
        <is>
          <t>SDO-6876 VoP Gateway solution</t>
        </is>
      </c>
      <c r="E65" s="10" t="inlineStr">
        <is>
          <t>SDO-7184</t>
        </is>
      </c>
      <c r="F65" s="10" t="inlineStr">
        <is>
          <t>[Router] Encrypt VAS headers to prevent tampe</t>
        </is>
      </c>
      <c r="G65" s="22" t="n">
        <v>48.8</v>
      </c>
    </row>
    <row r="66">
      <c r="A66" s="10" t="inlineStr">
        <is>
          <t>Team Samba</t>
        </is>
      </c>
      <c r="B66" s="10" t="inlineStr">
        <is>
          <t>Adorjan Fritz</t>
        </is>
      </c>
      <c r="C66" s="10" t="inlineStr">
        <is>
          <t>SDO-6876</t>
        </is>
      </c>
      <c r="D66" s="10" t="inlineStr">
        <is>
          <t>SDO-6876 VoP Gateway solution</t>
        </is>
      </c>
      <c r="E66" s="10" t="inlineStr">
        <is>
          <t>SDO-7185</t>
        </is>
      </c>
      <c r="F66" s="10" t="inlineStr">
        <is>
          <t>[VoP Gateway] Decrypt VAS headers</t>
        </is>
      </c>
      <c r="G66" s="22" t="n">
        <v>24.8</v>
      </c>
    </row>
    <row r="67">
      <c r="A67" s="10" t="inlineStr">
        <is>
          <t>Team Samba</t>
        </is>
      </c>
      <c r="B67" s="10" t="inlineStr">
        <is>
          <t>Adorjan Fritz</t>
        </is>
      </c>
      <c r="C67" s="10" t="inlineStr">
        <is>
          <t>SDO-6876</t>
        </is>
      </c>
      <c r="D67" s="10" t="inlineStr">
        <is>
          <t>SDO-6876 VoP Gateway solution</t>
        </is>
      </c>
      <c r="E67" s="10" t="inlineStr">
        <is>
          <t>SDO-7350</t>
        </is>
      </c>
      <c r="F67" s="10" t="inlineStr">
        <is>
          <t>Pass through X-End-User header in VOP Gateway</t>
        </is>
      </c>
      <c r="G67" s="22" t="n">
        <v>6.1333</v>
      </c>
    </row>
    <row r="68">
      <c r="A68" s="10" t="inlineStr">
        <is>
          <t>Team Samba</t>
        </is>
      </c>
      <c r="B68" s="10" t="inlineStr">
        <is>
          <t>Adorjan Fritz</t>
        </is>
      </c>
      <c r="C68" s="10" t="inlineStr">
        <is>
          <t>SDO-7438</t>
        </is>
      </c>
      <c r="D68" s="10" t="inlineStr">
        <is>
          <t>SDO-7438 VOP Gateway - Enhancements</t>
        </is>
      </c>
      <c r="E68" s="10" t="inlineStr">
        <is>
          <t>SDO-7351</t>
        </is>
      </c>
      <c r="F68" s="10" t="inlineStr">
        <is>
          <t>Pass through X-Software-Supplier header in VO</t>
        </is>
      </c>
      <c r="G68" s="22" t="n">
        <v>14.1333</v>
      </c>
    </row>
    <row r="69">
      <c r="A69" s="10" t="inlineStr">
        <is>
          <t>Team Samba</t>
        </is>
      </c>
      <c r="B69" s="10" t="inlineStr">
        <is>
          <t>Sandhya Pai</t>
        </is>
      </c>
      <c r="C69" s="10" t="inlineStr">
        <is>
          <t>SDO-7438</t>
        </is>
      </c>
      <c r="D69" s="10" t="inlineStr">
        <is>
          <t>SDO-7438 VOP Gateway - Enhancements</t>
        </is>
      </c>
      <c r="E69" s="10" t="inlineStr">
        <is>
          <t>SDO-7396</t>
        </is>
      </c>
      <c r="F69" s="10" t="inlineStr">
        <is>
          <t>Investigate how to limit access for ORG API u</t>
        </is>
      </c>
      <c r="G69" s="22" t="n">
        <v>49.3333</v>
      </c>
    </row>
    <row r="70">
      <c r="A70" s="10" t="inlineStr">
        <is>
          <t>Team Samba</t>
        </is>
      </c>
      <c r="B70" s="10" t="inlineStr">
        <is>
          <t>Sandhya Pai</t>
        </is>
      </c>
      <c r="C70" s="10" t="inlineStr">
        <is>
          <t>SDO-7438</t>
        </is>
      </c>
      <c r="D70" s="10" t="inlineStr">
        <is>
          <t>SDO-7438 VOP Gateway - Enhancements</t>
        </is>
      </c>
      <c r="E70" s="10" t="inlineStr">
        <is>
          <t>SDO-7428</t>
        </is>
      </c>
      <c r="F70" s="10" t="inlineStr">
        <is>
          <t xml:space="preserve">Limit access for ORG API users to just dutch </t>
        </is>
      </c>
      <c r="G70" s="22" t="n">
        <v>21.3333</v>
      </c>
    </row>
    <row r="71">
      <c r="A71" s="10" t="inlineStr">
        <is>
          <t>Team Samba</t>
        </is>
      </c>
      <c r="B71" s="10" t="inlineStr">
        <is>
          <t>Ismail Kuyu</t>
        </is>
      </c>
      <c r="C71" s="10" t="inlineStr">
        <is>
          <t>SDO-6876</t>
        </is>
      </c>
      <c r="D71" s="10" t="inlineStr">
        <is>
          <t>SDO-6876 VoP Gateway solution</t>
        </is>
      </c>
      <c r="E71" s="10" t="inlineStr">
        <is>
          <t>SDO-7391</t>
        </is>
      </c>
      <c r="F71" s="10" t="inlineStr">
        <is>
          <t xml:space="preserve">[vop-gateway-service] Validate the iban also </t>
        </is>
      </c>
      <c r="G71" s="22" t="n">
        <v>10.2667</v>
      </c>
    </row>
    <row r="72">
      <c r="A72" s="10" t="inlineStr">
        <is>
          <t>Team Samba</t>
        </is>
      </c>
      <c r="B72" s="10" t="inlineStr">
        <is>
          <t>Ismail Kuyu</t>
        </is>
      </c>
      <c r="C72" s="10" t="inlineStr">
        <is>
          <t>SDO-6876</t>
        </is>
      </c>
      <c r="D72" s="10" t="inlineStr">
        <is>
          <t>SDO-6876 VoP Gateway solution</t>
        </is>
      </c>
      <c r="E72" s="10" t="inlineStr">
        <is>
          <t>SDO-7399</t>
        </is>
      </c>
      <c r="F72" s="10" t="inlineStr">
        <is>
          <t>Review Audit PRs from Yoda</t>
        </is>
      </c>
      <c r="G72" s="22" t="n">
        <v>8.2667</v>
      </c>
    </row>
    <row r="73">
      <c r="A73" s="10" t="inlineStr">
        <is>
          <t>Team Samba</t>
        </is>
      </c>
      <c r="B73" s="10" t="inlineStr">
        <is>
          <t>Ismail Kuyu</t>
        </is>
      </c>
      <c r="C73" s="10" t="inlineStr">
        <is>
          <t>SDO-6876</t>
        </is>
      </c>
      <c r="D73" s="10" t="inlineStr">
        <is>
          <t>SDO-6876 VoP Gateway solution</t>
        </is>
      </c>
      <c r="E73" s="10" t="inlineStr">
        <is>
          <t>SDO-7389</t>
        </is>
      </c>
      <c r="F73" s="10" t="inlineStr">
        <is>
          <t>[java-dataprovisioning-nl] Add country to dat</t>
        </is>
      </c>
      <c r="G73" s="22" t="n">
        <v>5.6</v>
      </c>
    </row>
    <row r="74">
      <c r="A74" s="10" t="inlineStr">
        <is>
          <t>Team Samba</t>
        </is>
      </c>
      <c r="B74" s="10" t="inlineStr">
        <is>
          <t>Ismail Kuyu</t>
        </is>
      </c>
      <c r="C74" s="10" t="inlineStr">
        <is>
          <t>SDO-6876</t>
        </is>
      </c>
      <c r="D74" s="10" t="inlineStr">
        <is>
          <t>SDO-6876 VoP Gateway solution</t>
        </is>
      </c>
      <c r="E74" s="10" t="inlineStr">
        <is>
          <t>SDO-7387</t>
        </is>
      </c>
      <c r="F74" s="10" t="inlineStr">
        <is>
          <t xml:space="preserve">[java-dataprovisioning-nl] Fix empty company </t>
        </is>
      </c>
      <c r="G74" s="22" t="n">
        <v>1.6</v>
      </c>
    </row>
    <row r="75">
      <c r="A75" s="10" t="inlineStr">
        <is>
          <t>Team Samba</t>
        </is>
      </c>
      <c r="B75" s="10" t="inlineStr">
        <is>
          <t>Ismail Kuyu</t>
        </is>
      </c>
      <c r="C75" s="10" t="inlineStr">
        <is>
          <t>SDO-7438</t>
        </is>
      </c>
      <c r="D75" s="10" t="inlineStr">
        <is>
          <t>SDO-7438 VOP Gateway - Enhancements</t>
        </is>
      </c>
      <c r="E75" s="10" t="inlineStr">
        <is>
          <t>SDO-7336</t>
        </is>
      </c>
      <c r="F75" s="10" t="inlineStr">
        <is>
          <t>Investigate if we can handle the rate limitin</t>
        </is>
      </c>
      <c r="G75" s="22" t="n">
        <v>33.8667</v>
      </c>
    </row>
    <row r="76">
      <c r="A76" s="10" t="inlineStr">
        <is>
          <t>Team Samba</t>
        </is>
      </c>
      <c r="B76" s="10" t="inlineStr">
        <is>
          <t>Ismail Kuyu</t>
        </is>
      </c>
      <c r="C76" s="10" t="inlineStr">
        <is>
          <t>SDO-7438</t>
        </is>
      </c>
      <c r="D76" s="10" t="inlineStr">
        <is>
          <t>SDO-7438 VOP Gateway - Enhancements</t>
        </is>
      </c>
      <c r="E76" s="10" t="inlineStr">
        <is>
          <t>SDO-7353</t>
        </is>
      </c>
      <c r="F76" s="10" t="inlineStr">
        <is>
          <t>Implement X-Channel header</t>
        </is>
      </c>
      <c r="G76" s="22" t="n">
        <v>3.6</v>
      </c>
    </row>
    <row r="77">
      <c r="A77" s="10" t="inlineStr">
        <is>
          <t>Team Samba</t>
        </is>
      </c>
      <c r="B77" s="10" t="inlineStr">
        <is>
          <t>Ioannis Argyroulis</t>
        </is>
      </c>
      <c r="C77" s="10" t="inlineStr">
        <is>
          <t>SDO-4324</t>
        </is>
      </c>
      <c r="D77" s="10" t="inlineStr">
        <is>
          <t>SDO-4324 SWIFT Outbound/Inbound</t>
        </is>
      </c>
      <c r="E77" s="10" t="inlineStr">
        <is>
          <t>SDO-7098</t>
        </is>
      </c>
      <c r="F77" s="10" t="inlineStr">
        <is>
          <t>[SWIFT BAV v3] Review new BAV v3 specs and de</t>
        </is>
      </c>
      <c r="G77" s="22" t="n">
        <v>36</v>
      </c>
    </row>
    <row r="78">
      <c r="A78" s="10" t="inlineStr">
        <is>
          <t>Team Samba</t>
        </is>
      </c>
      <c r="B78" s="10" t="inlineStr">
        <is>
          <t>Ioannis Argyroulis</t>
        </is>
      </c>
      <c r="C78" s="10" t="inlineStr">
        <is>
          <t>SDO-7438</t>
        </is>
      </c>
      <c r="D78" s="10" t="inlineStr">
        <is>
          <t>SDO-7438 VOP Gateway - Enhancements</t>
        </is>
      </c>
      <c r="E78" s="10" t="inlineStr">
        <is>
          <t>SDO-7383</t>
        </is>
      </c>
      <c r="F78" s="10" t="inlineStr">
        <is>
          <t>[VOP Gateway] Update YAML with the 3 new head</t>
        </is>
      </c>
      <c r="G78" s="22" t="n">
        <v>8</v>
      </c>
    </row>
    <row r="79">
      <c r="A79" s="10" t="inlineStr">
        <is>
          <t>Team Samba</t>
        </is>
      </c>
      <c r="B79" s="10" t="inlineStr">
        <is>
          <t>Orwa Badran</t>
        </is>
      </c>
      <c r="C79" s="10" t="inlineStr">
        <is>
          <t>SDO-6876</t>
        </is>
      </c>
      <c r="D79" s="10" t="inlineStr">
        <is>
          <t>SDO-6876 VoP Gateway solution</t>
        </is>
      </c>
      <c r="E79" s="10" t="inlineStr">
        <is>
          <t>SDO-7262</t>
        </is>
      </c>
      <c r="F79" s="10" t="inlineStr">
        <is>
          <t xml:space="preserve">[Accept-Language Header] Implement logic for </t>
        </is>
      </c>
      <c r="G79" s="22" t="n">
        <v>17.4667</v>
      </c>
    </row>
    <row r="80">
      <c r="A80" s="10" t="inlineStr">
        <is>
          <t>Team Samba</t>
        </is>
      </c>
      <c r="B80" s="10" t="inlineStr">
        <is>
          <t>Orwa Badran</t>
        </is>
      </c>
      <c r="C80" s="10" t="inlineStr">
        <is>
          <t>SDO-6876</t>
        </is>
      </c>
      <c r="D80" s="10" t="inlineStr">
        <is>
          <t>SDO-6876 VoP Gateway solution</t>
        </is>
      </c>
      <c r="E80" s="10" t="inlineStr">
        <is>
          <t>SDO-7325</t>
        </is>
      </c>
      <c r="F80" s="10" t="inlineStr">
        <is>
          <t>[Accept-Language] Implement the header in Ban</t>
        </is>
      </c>
      <c r="G80" s="22" t="n">
        <v>14.8</v>
      </c>
    </row>
    <row r="81">
      <c r="A81" s="10" t="inlineStr">
        <is>
          <t>Team Samba</t>
        </is>
      </c>
      <c r="B81" s="10" t="inlineStr">
        <is>
          <t>Sheik Farzand Razi</t>
        </is>
      </c>
      <c r="C81" s="10" t="inlineStr">
        <is>
          <t>SDO-6876</t>
        </is>
      </c>
      <c r="D81" s="10" t="inlineStr">
        <is>
          <t>SDO-6876 VoP Gateway solution</t>
        </is>
      </c>
      <c r="E81" s="10" t="inlineStr">
        <is>
          <t>SDO-7408</t>
        </is>
      </c>
      <c r="F81" s="10" t="inlineStr">
        <is>
          <t>Test and update all java app dockerfile to us</t>
        </is>
      </c>
      <c r="G81" s="22" t="n">
        <v>11.4667</v>
      </c>
    </row>
    <row r="82">
      <c r="A82" s="10" t="inlineStr">
        <is>
          <t>Team Samba</t>
        </is>
      </c>
      <c r="B82" s="10" t="inlineStr">
        <is>
          <t>Sheik Farzand Razi</t>
        </is>
      </c>
      <c r="C82" s="10" t="inlineStr">
        <is>
          <t>SDO-6876</t>
        </is>
      </c>
      <c r="D82" s="10" t="inlineStr">
        <is>
          <t>SDO-6876 VoP Gateway solution</t>
        </is>
      </c>
      <c r="E82" s="10" t="inlineStr">
        <is>
          <t>SDO-7402</t>
        </is>
      </c>
      <c r="F82" s="10" t="inlineStr">
        <is>
          <t>Release VOP Gateway to Production</t>
        </is>
      </c>
      <c r="G82" s="22" t="n">
        <v>8</v>
      </c>
    </row>
    <row r="83">
      <c r="A83" s="10" t="inlineStr">
        <is>
          <t>Team Samba</t>
        </is>
      </c>
      <c r="B83" s="10" t="inlineStr">
        <is>
          <t>Sheik Farzand Razi</t>
        </is>
      </c>
      <c r="C83" s="10" t="inlineStr">
        <is>
          <t>SDO-6876</t>
        </is>
      </c>
      <c r="D83" s="10" t="inlineStr">
        <is>
          <t>SDO-6876 VoP Gateway solution</t>
        </is>
      </c>
      <c r="E83" s="10" t="inlineStr">
        <is>
          <t>SDO-7393</t>
        </is>
      </c>
      <c r="F83" s="10" t="inlineStr">
        <is>
          <t>Scale up Acceptance Infrastructure for VOP Pe</t>
        </is>
      </c>
      <c r="G83" s="22" t="n">
        <v>6.9333</v>
      </c>
    </row>
    <row r="84">
      <c r="A84" s="10" t="inlineStr">
        <is>
          <t>Team Samba</t>
        </is>
      </c>
      <c r="B84" s="10" t="inlineStr">
        <is>
          <t>Sheik Farzand Razi</t>
        </is>
      </c>
      <c r="C84" s="10" t="inlineStr">
        <is>
          <t>SDO-6876</t>
        </is>
      </c>
      <c r="D84" s="10" t="inlineStr">
        <is>
          <t>SDO-6876 VoP Gateway solution</t>
        </is>
      </c>
      <c r="E84" s="10" t="inlineStr">
        <is>
          <t>SDO-7394</t>
        </is>
      </c>
      <c r="F84" s="10" t="inlineStr">
        <is>
          <t xml:space="preserve">Scale down Acceptance Infrastructure for VOP </t>
        </is>
      </c>
      <c r="G84" s="22" t="n">
        <v>1.6</v>
      </c>
    </row>
    <row r="85">
      <c r="A85" s="10" t="inlineStr">
        <is>
          <t>YODA</t>
        </is>
      </c>
      <c r="B85" s="10" t="inlineStr">
        <is>
          <t>Parth Mewada</t>
        </is>
      </c>
      <c r="C85" s="10" t="inlineStr">
        <is>
          <t>YODA-1338</t>
        </is>
      </c>
      <c r="D85" s="10" t="inlineStr">
        <is>
          <t>YODA-1338 Auditing &amp; Dashboard POCs</t>
        </is>
      </c>
      <c r="E85" s="10" t="inlineStr">
        <is>
          <t>YODA-1476</t>
        </is>
      </c>
      <c r="F85" s="10" t="inlineStr">
        <is>
          <t>Update infrastructure for Audit FluentD</t>
        </is>
      </c>
      <c r="G85" s="22" t="n">
        <v>16</v>
      </c>
    </row>
    <row r="86">
      <c r="A86" s="10" t="inlineStr">
        <is>
          <t>YODA</t>
        </is>
      </c>
      <c r="B86" s="10" t="inlineStr">
        <is>
          <t>Parth Mewada</t>
        </is>
      </c>
      <c r="C86" s="10" t="inlineStr">
        <is>
          <t>YODA-1338</t>
        </is>
      </c>
      <c r="D86" s="10" t="inlineStr">
        <is>
          <t>YODA-1338 Auditing &amp; Dashboard POCs</t>
        </is>
      </c>
      <c r="E86" s="10" t="inlineStr">
        <is>
          <t>YODA-1478</t>
        </is>
      </c>
      <c r="F86" s="10" t="inlineStr">
        <is>
          <t xml:space="preserve">Update IAM policy for fluentd-ECS policy and </t>
        </is>
      </c>
      <c r="G86" s="22" t="n">
        <v>6</v>
      </c>
    </row>
    <row r="87">
      <c r="A87" s="10" t="inlineStr">
        <is>
          <t>YODA</t>
        </is>
      </c>
      <c r="B87" s="10" t="inlineStr">
        <is>
          <t>Parth Mewada</t>
        </is>
      </c>
      <c r="C87" s="10" t="inlineStr">
        <is>
          <t>YODA-1338</t>
        </is>
      </c>
      <c r="D87" s="10" t="inlineStr">
        <is>
          <t>YODA-1338 Auditing &amp; Dashboard POCs</t>
        </is>
      </c>
      <c r="E87" s="10" t="inlineStr">
        <is>
          <t>YODA-1479</t>
        </is>
      </c>
      <c r="F87" s="10" t="inlineStr">
        <is>
          <t>Cleanup unwanted infrastructure vop-audit</t>
        </is>
      </c>
      <c r="G87" s="22" t="n">
        <v>6</v>
      </c>
    </row>
    <row r="88">
      <c r="A88" s="10" t="inlineStr">
        <is>
          <t>YODA</t>
        </is>
      </c>
      <c r="B88" s="10" t="inlineStr">
        <is>
          <t>Parth Mewada</t>
        </is>
      </c>
      <c r="C88" s="10" t="inlineStr">
        <is>
          <t>YODA-1430</t>
        </is>
      </c>
      <c r="D88" s="10" t="inlineStr">
        <is>
          <t>YODA-1430 [Audit] Roll out</t>
        </is>
      </c>
      <c r="E88" s="10" t="inlineStr">
        <is>
          <t>YODA-1432</t>
        </is>
      </c>
      <c r="F88" s="10" t="inlineStr">
        <is>
          <t>[Onboarding-lambda] Change process to use con</t>
        </is>
      </c>
      <c r="G88" s="22" t="n">
        <v>54</v>
      </c>
    </row>
    <row r="89">
      <c r="A89" s="10" t="inlineStr">
        <is>
          <t>YODA</t>
        </is>
      </c>
      <c r="B89" s="10" t="inlineStr">
        <is>
          <t>Parth Mewada</t>
        </is>
      </c>
      <c r="C89" s="10" t="inlineStr">
        <is>
          <t>YODA-1430</t>
        </is>
      </c>
      <c r="D89" s="10" t="inlineStr">
        <is>
          <t>YODA-1430 [Audit] Roll out</t>
        </is>
      </c>
      <c r="E89" s="10" t="inlineStr">
        <is>
          <t>YODA-1417</t>
        </is>
      </c>
      <c r="F89" s="10" t="inlineStr">
        <is>
          <t>Let's take it to acceptance</t>
        </is>
      </c>
      <c r="G89" s="22" t="n">
        <v>38</v>
      </c>
    </row>
    <row r="90">
      <c r="A90" s="10" t="inlineStr">
        <is>
          <t>YODA</t>
        </is>
      </c>
      <c r="B90" s="10" t="inlineStr">
        <is>
          <t>Parth Mewada</t>
        </is>
      </c>
      <c r="C90" s="10" t="inlineStr">
        <is>
          <t>YODA-1430</t>
        </is>
      </c>
      <c r="D90" s="10" t="inlineStr">
        <is>
          <t>YODA-1430 [Audit] Roll out</t>
        </is>
      </c>
      <c r="E90" s="10" t="inlineStr">
        <is>
          <t>YODA-1451</t>
        </is>
      </c>
      <c r="F90" s="10" t="inlineStr">
        <is>
          <t>Configure Tenants through ssm</t>
        </is>
      </c>
      <c r="G90" s="22" t="n">
        <v>2.6667</v>
      </c>
    </row>
    <row r="91">
      <c r="A91" s="10" t="inlineStr">
        <is>
          <t>YODA</t>
        </is>
      </c>
      <c r="B91" s="10" t="inlineStr">
        <is>
          <t>Parth Mewada</t>
        </is>
      </c>
      <c r="C91" s="10" t="inlineStr">
        <is>
          <t>YODA-1430</t>
        </is>
      </c>
      <c r="D91" s="10" t="inlineStr">
        <is>
          <t>YODA-1430 [Audit] Roll out</t>
        </is>
      </c>
      <c r="E91" s="10" t="inlineStr">
        <is>
          <t>YODA-1453</t>
        </is>
      </c>
      <c r="F91" s="10" t="inlineStr">
        <is>
          <t>Fix release pipeline for VOP Audit repo</t>
        </is>
      </c>
      <c r="G91" s="22" t="n">
        <v>2.6667</v>
      </c>
    </row>
    <row r="92">
      <c r="A92" s="10" t="inlineStr">
        <is>
          <t>YODA</t>
        </is>
      </c>
      <c r="B92" s="10" t="inlineStr">
        <is>
          <t>Parth Mewada</t>
        </is>
      </c>
      <c r="C92" s="10" t="inlineStr">
        <is>
          <t>YODA-1430</t>
        </is>
      </c>
      <c r="D92" s="10" t="inlineStr">
        <is>
          <t>YODA-1430 [Audit] Roll out</t>
        </is>
      </c>
      <c r="E92" s="10" t="inlineStr">
        <is>
          <t>YODA-1463</t>
        </is>
      </c>
      <c r="F92" s="10" t="inlineStr">
        <is>
          <t>Update IAM policies for onboarding and bootst</t>
        </is>
      </c>
      <c r="G92" s="22" t="n">
        <v>2.6667</v>
      </c>
    </row>
    <row r="93">
      <c r="A93" s="10" t="inlineStr">
        <is>
          <t>YODA</t>
        </is>
      </c>
      <c r="B93" s="10" t="inlineStr">
        <is>
          <t>Mark Moorcroft</t>
        </is>
      </c>
      <c r="C93" s="10" t="inlineStr">
        <is>
          <t>YODA-1430</t>
        </is>
      </c>
      <c r="D93" s="10" t="inlineStr">
        <is>
          <t>YODA-1430 [Audit] Roll out</t>
        </is>
      </c>
      <c r="E93" s="10" t="inlineStr">
        <is>
          <t>YODA-1456</t>
        </is>
      </c>
      <c r="F93" s="10" t="inlineStr">
        <is>
          <t>Make OrgAPI send audit logs</t>
        </is>
      </c>
      <c r="G93" s="22" t="n">
        <v>64</v>
      </c>
    </row>
    <row r="94">
      <c r="A94" s="10" t="inlineStr">
        <is>
          <t>YODA</t>
        </is>
      </c>
      <c r="B94" s="10" t="inlineStr">
        <is>
          <t>Mark Moorcroft</t>
        </is>
      </c>
      <c r="C94" s="10" t="inlineStr">
        <is>
          <t>YODA-1430</t>
        </is>
      </c>
      <c r="D94" s="10" t="inlineStr">
        <is>
          <t>YODA-1430 [Audit] Roll out</t>
        </is>
      </c>
      <c r="E94" s="10" t="inlineStr">
        <is>
          <t>YODA-1495</t>
        </is>
      </c>
      <c r="F94" s="10" t="inlineStr">
        <is>
          <t>[VOP gateway]Add audit feature flag</t>
        </is>
      </c>
      <c r="G94" s="22" t="n">
        <v>8</v>
      </c>
    </row>
    <row r="95">
      <c r="A95" s="10" t="inlineStr">
        <is>
          <t>YODA</t>
        </is>
      </c>
      <c r="B95" s="10" t="inlineStr">
        <is>
          <t>Richard Oliver</t>
        </is>
      </c>
      <c r="C95" s="10" t="inlineStr">
        <is>
          <t>YODA-1046</t>
        </is>
      </c>
      <c r="D95" s="10" t="inlineStr">
        <is>
          <t>YODA-1046 OPA - JPM V1</t>
        </is>
      </c>
      <c r="E95" s="10" t="inlineStr">
        <is>
          <t>YODA-1468</t>
        </is>
      </c>
      <c r="F95" s="10" t="inlineStr">
        <is>
          <t>[CDK][Online-provisioning-adapter] Update Jen</t>
        </is>
      </c>
      <c r="G95" s="22" t="n">
        <v>9.333299999999999</v>
      </c>
    </row>
    <row r="96">
      <c r="A96" s="10" t="inlineStr">
        <is>
          <t>YODA</t>
        </is>
      </c>
      <c r="B96" s="10" t="inlineStr">
        <is>
          <t>Richard Oliver</t>
        </is>
      </c>
      <c r="C96" s="10" t="inlineStr">
        <is>
          <t>YODA-1429</t>
        </is>
      </c>
      <c r="D96" s="10" t="inlineStr">
        <is>
          <t>YODA-1429 [Audit] Backup strategy</t>
        </is>
      </c>
      <c r="E96" s="10" t="inlineStr">
        <is>
          <t>YODA-1425</t>
        </is>
      </c>
      <c r="F96" s="10" t="inlineStr">
        <is>
          <t>Define backup strategy</t>
        </is>
      </c>
      <c r="G96" s="22" t="n">
        <v>24</v>
      </c>
    </row>
    <row r="97">
      <c r="A97" s="10" t="inlineStr">
        <is>
          <t>YODA</t>
        </is>
      </c>
      <c r="B97" s="10" t="inlineStr">
        <is>
          <t>Richard Oliver</t>
        </is>
      </c>
      <c r="C97" s="10" t="inlineStr">
        <is>
          <t>YODA-1430</t>
        </is>
      </c>
      <c r="D97" s="10" t="inlineStr">
        <is>
          <t>YODA-1430 [Audit] Roll out</t>
        </is>
      </c>
      <c r="E97" s="10" t="inlineStr">
        <is>
          <t>YODA-1434</t>
        </is>
      </c>
      <c r="F97" s="10" t="inlineStr">
        <is>
          <t>[Configuration-lambda] Add ILM Rules to lambd</t>
        </is>
      </c>
      <c r="G97" s="22" t="n">
        <v>32</v>
      </c>
    </row>
    <row r="99">
      <c r="F99" s="3" t="inlineStr">
        <is>
          <t>TOTAL</t>
        </is>
      </c>
      <c r="G99" s="16">
        <f>SUM(G4:G97)</f>
        <v/>
      </c>
    </row>
  </sheetData>
  <autoFilter ref="A3:G9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6" customWidth="1" min="4" max="4"/>
    <col width="52" customWidth="1" min="5" max="5"/>
  </cols>
  <sheetData>
    <row r="1">
      <c r="A1" s="1" t="inlineStr">
        <is>
          <t>Mapping and scope issues found during this run</t>
        </is>
      </c>
    </row>
    <row r="3">
      <c r="A3" s="9" t="inlineStr">
        <is>
          <t>Team</t>
        </is>
      </c>
      <c r="B3" s="9" t="inlineStr">
        <is>
          <t>Epic key</t>
        </is>
      </c>
      <c r="C3" s="9" t="inlineStr">
        <is>
          <t>Issue</t>
        </is>
      </c>
      <c r="D3" s="9" t="inlineStr">
        <is>
          <t>Example ticket</t>
        </is>
      </c>
      <c r="E3" s="9" t="inlineStr">
        <is>
          <t>Action</t>
        </is>
      </c>
    </row>
    <row r="4">
      <c r="A4" s="10" t="inlineStr">
        <is>
          <t>Pastel de Portal Team</t>
        </is>
      </c>
      <c r="B4" s="10" t="inlineStr">
        <is>
          <t>PT-491</t>
        </is>
      </c>
      <c r="C4" s="10" t="inlineStr">
        <is>
          <t>Absent from the mapping CSV entirely</t>
        </is>
      </c>
      <c r="D4" s="10" t="inlineStr">
        <is>
          <t>PT-97</t>
        </is>
      </c>
      <c r="E4" s="10" t="inlineStr">
        <is>
          <t>Treated as non-WBSO. Add a row to the CSV if it should count.</t>
        </is>
      </c>
    </row>
    <row r="5">
      <c r="A5" s="10" t="inlineStr">
        <is>
          <t>Pastel de Portal Team</t>
        </is>
      </c>
      <c r="B5" s="10" t="inlineStr">
        <is>
          <t>PT-57</t>
        </is>
      </c>
      <c r="C5" s="10" t="inlineStr">
        <is>
          <t>Absent from the mapping CSV entirely</t>
        </is>
      </c>
      <c r="D5" s="10" t="inlineStr">
        <is>
          <t>PT-90</t>
        </is>
      </c>
      <c r="E5" s="10" t="inlineStr">
        <is>
          <t>Treated as non-WBSO. Add a row to the CSV if it should count.</t>
        </is>
      </c>
    </row>
    <row r="6">
      <c r="A6" s="10" t="inlineStr">
        <is>
          <t>Team Horizon</t>
        </is>
      </c>
      <c r="B6" s="10" t="inlineStr">
        <is>
          <t>SUK-1438</t>
        </is>
      </c>
      <c r="C6" s="10" t="inlineStr">
        <is>
          <t>Absent from the mapping CSV entirely</t>
        </is>
      </c>
      <c r="D6" s="10" t="inlineStr">
        <is>
          <t>SUK-1557</t>
        </is>
      </c>
      <c r="E6" s="10" t="inlineStr">
        <is>
          <t>Treated as non-WBSO. Add a row to the CSV if it should count.</t>
        </is>
      </c>
    </row>
    <row r="7">
      <c r="A7" s="10" t="inlineStr">
        <is>
          <t>Team Horizon</t>
        </is>
      </c>
      <c r="B7" s="10" t="inlineStr">
        <is>
          <t>SUK-2339</t>
        </is>
      </c>
      <c r="C7" s="10" t="inlineStr">
        <is>
          <t>Absent from the mapping CSV entirely</t>
        </is>
      </c>
      <c r="D7" s="10" t="inlineStr">
        <is>
          <t>SUK-3511</t>
        </is>
      </c>
      <c r="E7" s="10" t="inlineStr">
        <is>
          <t>Treated as non-WBSO. Add a row to the CSV if it should count.</t>
        </is>
      </c>
    </row>
    <row r="8">
      <c r="A8" s="10" t="inlineStr">
        <is>
          <t>Team Horizon</t>
        </is>
      </c>
      <c r="B8" s="10" t="inlineStr">
        <is>
          <t>SUK-4741</t>
        </is>
      </c>
      <c r="C8" s="10" t="inlineStr">
        <is>
          <t>Absent from the mapping CSV entirely</t>
        </is>
      </c>
      <c r="D8" s="10" t="inlineStr">
        <is>
          <t>SUK-4751</t>
        </is>
      </c>
      <c r="E8" s="10" t="inlineStr">
        <is>
          <t>Treated as non-WBSO. Add a row to the CSV if it should count.</t>
        </is>
      </c>
    </row>
    <row r="9">
      <c r="A9" s="10" t="inlineStr">
        <is>
          <t>Team Horizon</t>
        </is>
      </c>
      <c r="B9" s="10" t="inlineStr">
        <is>
          <t>SUK-6072</t>
        </is>
      </c>
      <c r="C9" s="10" t="inlineStr">
        <is>
          <t>Absent from the mapping CSV entirely</t>
        </is>
      </c>
      <c r="D9" s="10" t="inlineStr">
        <is>
          <t>SUK-2977</t>
        </is>
      </c>
      <c r="E9" s="10" t="inlineStr">
        <is>
          <t>Treated as non-WBSO. Add a row to the CSV if it should count.</t>
        </is>
      </c>
    </row>
    <row r="10">
      <c r="A10" s="10" t="inlineStr">
        <is>
          <t>Team Horizon</t>
        </is>
      </c>
      <c r="B10" s="10" t="inlineStr">
        <is>
          <t>SUK-6076</t>
        </is>
      </c>
      <c r="C10" s="10" t="inlineStr">
        <is>
          <t>Absent from the mapping CSV entirely</t>
        </is>
      </c>
      <c r="D10" s="10" t="inlineStr">
        <is>
          <t>SUK-5097</t>
        </is>
      </c>
      <c r="E10" s="10" t="inlineStr">
        <is>
          <t>Treated as non-WBSO. Add a row to the CSV if it should count.</t>
        </is>
      </c>
    </row>
    <row r="11">
      <c r="A11" s="10" t="inlineStr">
        <is>
          <t>Team Samba</t>
        </is>
      </c>
      <c r="B11" s="10" t="inlineStr">
        <is>
          <t>SDO-8170</t>
        </is>
      </c>
      <c r="C11" s="10" t="inlineStr">
        <is>
          <t>Absent from the mapping CSV entirely</t>
        </is>
      </c>
      <c r="D11" s="10" t="inlineStr">
        <is>
          <t>SDO-7265</t>
        </is>
      </c>
      <c r="E11" s="10" t="inlineStr">
        <is>
          <t>Treated as non-WBSO. Add a row to the CSV if it should count.</t>
        </is>
      </c>
    </row>
    <row r="12">
      <c r="A12" s="10" t="inlineStr">
        <is>
          <t>Team Samba</t>
        </is>
      </c>
      <c r="B12" s="10" t="inlineStr">
        <is>
          <t>SDO-8305</t>
        </is>
      </c>
      <c r="C12" s="10" t="inlineStr">
        <is>
          <t>Absent from the mapping CSV entirely</t>
        </is>
      </c>
      <c r="D12" s="10" t="inlineStr">
        <is>
          <t>SDO-5879</t>
        </is>
      </c>
      <c r="E12" s="10" t="inlineStr">
        <is>
          <t>Treated as non-WBSO. Add a row to the CSV if it should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2026-08-21T16:53:07Z</dcterms:created>
  <dcterms:modified xsi:type="dcterms:W3CDTF">2026-08-21T16:53:08Z</dcterms:modified>
</cp:coreProperties>
</file>
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7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2025-04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5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6</v>
      </c>
      <c r="E5" s="11" t="n">
        <v>6</v>
      </c>
      <c r="F5" s="12">
        <f>SUMIFS(Detail!$G$4:$G$110,Detail!$A$4:$A$110,$A5)</f>
        <v/>
      </c>
      <c r="G5" s="11" t="n">
        <v>125</v>
      </c>
      <c r="H5" s="12">
        <f>$G5*Assumptions!$B$5</f>
        <v/>
      </c>
      <c r="I5" s="13">
        <f>IFERROR($F5/$H5,0)</f>
        <v/>
      </c>
      <c r="J5" s="10" t="inlineStr">
        <is>
          <t>163.1h across 6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4</v>
      </c>
      <c r="E6" s="11" t="n">
        <v>5</v>
      </c>
      <c r="F6" s="12" t="n">
        <v>0</v>
      </c>
      <c r="G6" s="11" t="n">
        <v>90</v>
      </c>
      <c r="H6" s="12">
        <f>$G6*Assumptions!$B$5</f>
        <v/>
      </c>
      <c r="I6" s="13">
        <f>IFERROR($F6/$H6,0)</f>
        <v/>
      </c>
      <c r="J6" s="14" t="inlineStr">
        <is>
          <t>24 ticket(s) had hours, but all 24 were filtered out as non-WBSO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>
        <f>SUMIFS(Detail!$G$4:$G$110,Detail!$A$4:$A$110,$A7)</f>
        <v/>
      </c>
      <c r="G7" s="11" t="n">
        <v>257</v>
      </c>
      <c r="H7" s="12">
        <f>$G7*Assumptions!$B$5</f>
        <v/>
      </c>
      <c r="I7" s="13">
        <f>IFERROR($F7/$H7,0)</f>
        <v/>
      </c>
      <c r="J7" s="10" t="inlineStr">
        <is>
          <t>88.9h across 12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11</v>
      </c>
      <c r="E8" s="11" t="n">
        <v>25</v>
      </c>
      <c r="F8" s="12">
        <f>SUMIFS(Detail!$G$4:$G$110,Detail!$A$4:$A$110,$A8)</f>
        <v/>
      </c>
      <c r="G8" s="11" t="n">
        <v>180</v>
      </c>
      <c r="H8" s="12">
        <f>$G8*Assumptions!$B$5</f>
        <v/>
      </c>
      <c r="I8" s="13">
        <f>IFERROR($F8/$H8,0)</f>
        <v/>
      </c>
      <c r="J8" s="10" t="inlineStr">
        <is>
          <t>1337.8h across 11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10</v>
      </c>
      <c r="E9" s="11" t="n">
        <v>18</v>
      </c>
      <c r="F9" s="12">
        <f>SUMIFS(Detail!$G$4:$G$110,Detail!$A$4:$A$110,$A9)</f>
        <v/>
      </c>
      <c r="G9" s="11" t="n">
        <v>184</v>
      </c>
      <c r="H9" s="12">
        <f>$G9*Assumptions!$B$5</f>
        <v/>
      </c>
      <c r="I9" s="13">
        <f>IFERROR($F9/$H9,0)</f>
        <v/>
      </c>
      <c r="J9" s="10" t="inlineStr">
        <is>
          <t>495.3h across 10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4</v>
      </c>
      <c r="E10" s="11" t="n">
        <v>29</v>
      </c>
      <c r="F10" s="12">
        <f>SUMIFS(Detail!$G$4:$G$110,Detail!$A$4:$A$110,$A10)</f>
        <v/>
      </c>
      <c r="G10" s="11" t="n">
        <v>63</v>
      </c>
      <c r="H10" s="12">
        <f>$G10*Assumptions!$B$5</f>
        <v/>
      </c>
      <c r="I10" s="13">
        <f>IFERROR($F10/$H10,0)</f>
        <v/>
      </c>
      <c r="J10" s="10" t="inlineStr">
        <is>
          <t>421.3h across 4 engineer(s)</t>
        </is>
      </c>
    </row>
    <row r="12">
      <c r="A12" s="3" t="inlineStr">
        <is>
          <t>ALL TEAMS</t>
        </is>
      </c>
      <c r="D12" s="15">
        <f>SUM(D5:D10)</f>
        <v/>
      </c>
      <c r="E12" s="15">
        <f>SUM(E5:E10)</f>
        <v/>
      </c>
      <c r="F12" s="16">
        <f>SUM(F5:F10)</f>
        <v/>
      </c>
      <c r="G12" s="15">
        <f>SUM(G5:G10)</f>
        <v/>
      </c>
      <c r="H12" s="16">
        <f>SUM(H5:H10)</f>
        <v/>
      </c>
      <c r="I12" s="17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2025-04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Vitor Fernandes</t>
        </is>
      </c>
      <c r="B5" s="10" t="inlineStr">
        <is>
          <t>PT-22</t>
        </is>
      </c>
      <c r="C5" s="10" t="inlineStr">
        <is>
          <t>PT-22 VOP Single Check</t>
        </is>
      </c>
      <c r="D5" s="12">
        <f>SUMIFS(Detail!$G$4:$G$110,Detail!$A$4:$A$110,$A$2,Detail!$B$4:$B$110,$A5,Detail!$C$4:$C$110,$B5)</f>
        <v/>
      </c>
    </row>
    <row r="6">
      <c r="A6" s="10" t="inlineStr">
        <is>
          <t>Vitor Fernandes</t>
        </is>
      </c>
      <c r="B6" s="10" t="inlineStr">
        <is>
          <t>PT-54</t>
        </is>
      </c>
      <c r="C6" s="10" t="inlineStr">
        <is>
          <t>PT-54 VOP File Check</t>
        </is>
      </c>
      <c r="D6" s="12">
        <f>SUMIFS(Detail!$G$4:$G$110,Detail!$A$4:$A$110,$A$2,Detail!$B$4:$B$110,$A6,Detail!$C$4:$C$110,$B6)</f>
        <v/>
      </c>
    </row>
    <row r="7">
      <c r="A7" s="10" t="inlineStr">
        <is>
          <t>Rafael Santos</t>
        </is>
      </c>
      <c r="B7" s="10" t="inlineStr">
        <is>
          <t>PT-54</t>
        </is>
      </c>
      <c r="C7" s="10" t="inlineStr">
        <is>
          <t>PT-54 VOP File Check</t>
        </is>
      </c>
      <c r="D7" s="12">
        <f>SUMIFS(Detail!$G$4:$G$110,Detail!$A$4:$A$110,$A$2,Detail!$B$4:$B$110,$A7,Detail!$C$4:$C$110,$B7)</f>
        <v/>
      </c>
    </row>
    <row r="8">
      <c r="A8" s="10" t="inlineStr">
        <is>
          <t>Joost Vos</t>
        </is>
      </c>
      <c r="B8" s="10" t="inlineStr">
        <is>
          <t>PT-22</t>
        </is>
      </c>
      <c r="C8" s="10" t="inlineStr">
        <is>
          <t>PT-22 VOP Single Check</t>
        </is>
      </c>
      <c r="D8" s="12">
        <f>SUMIFS(Detail!$G$4:$G$110,Detail!$A$4:$A$110,$A$2,Detail!$B$4:$B$110,$A8,Detail!$C$4:$C$110,$B8)</f>
        <v/>
      </c>
    </row>
    <row r="9">
      <c r="A9" s="10" t="inlineStr">
        <is>
          <t>gustavo.palminha</t>
        </is>
      </c>
      <c r="B9" s="10" t="inlineStr">
        <is>
          <t>PT-54</t>
        </is>
      </c>
      <c r="C9" s="10" t="inlineStr">
        <is>
          <t>PT-54 VOP File Check</t>
        </is>
      </c>
      <c r="D9" s="12">
        <f>SUMIFS(Detail!$G$4:$G$110,Detail!$A$4:$A$110,$A$2,Detail!$B$4:$B$110,$A9,Detail!$C$4:$C$110,$B9)</f>
        <v/>
      </c>
    </row>
    <row r="10">
      <c r="A10" s="10" t="inlineStr">
        <is>
          <t>alan.silva</t>
        </is>
      </c>
      <c r="B10" s="10" t="inlineStr">
        <is>
          <t>PT-22</t>
        </is>
      </c>
      <c r="C10" s="10" t="inlineStr">
        <is>
          <t>PT-22 VOP Single Check</t>
        </is>
      </c>
      <c r="D10" s="12">
        <f>SUMIFS(Detail!$G$4:$G$110,Detail!$A$4:$A$110,$A$2,Detail!$B$4:$B$110,$A10,Detail!$C$4:$C$110,$B10)</f>
        <v/>
      </c>
    </row>
    <row r="11">
      <c r="A11" s="18" t="n"/>
      <c r="B11" s="18" t="n"/>
      <c r="C11" s="19" t="inlineStr">
        <is>
          <t>TEAM TOTAL</t>
        </is>
      </c>
      <c r="D11" s="20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Vitor Fernandes</t>
        </is>
      </c>
      <c r="B16" s="12">
        <f>SUMIFS(Detail!$G$4:$G$110,Detail!$A$4:$A$110,$A$2,Detail!$B$4:$B$110,$A16)</f>
        <v/>
      </c>
      <c r="C16" s="12">
        <f>IFERROR($B16/Assumptions!$B$5,0)</f>
        <v/>
      </c>
      <c r="D16" s="11" t="n">
        <v>23</v>
      </c>
      <c r="E16" s="12">
        <f>$D16*Assumptions!$B$5</f>
        <v/>
      </c>
      <c r="F16" s="13">
        <f>IFERROR($B16/$E16,0)</f>
        <v/>
      </c>
      <c r="G16" s="11" t="inlineStr">
        <is>
          <t>4 on 22 Apr</t>
        </is>
      </c>
    </row>
    <row r="17">
      <c r="A17" s="10" t="inlineStr">
        <is>
          <t>Rafael Santos</t>
        </is>
      </c>
      <c r="B17" s="12">
        <f>SUMIFS(Detail!$G$4:$G$110,Detail!$A$4:$A$110,$A$2,Detail!$B$4:$B$110,$A17)</f>
        <v/>
      </c>
      <c r="C17" s="12">
        <f>IFERROR($B17/Assumptions!$B$5,0)</f>
        <v/>
      </c>
      <c r="D17" s="11" t="n">
        <v>17</v>
      </c>
      <c r="E17" s="12">
        <f>$D17*Assumptions!$B$5</f>
        <v/>
      </c>
      <c r="F17" s="13">
        <f>IFERROR($B17/$E17,0)</f>
        <v/>
      </c>
      <c r="G17" s="11" t="inlineStr">
        <is>
          <t>3 on 08 Apr</t>
        </is>
      </c>
    </row>
    <row r="18">
      <c r="A18" s="10" t="inlineStr">
        <is>
          <t>Joost Vos</t>
        </is>
      </c>
      <c r="B18" s="12">
        <f>SUMIFS(Detail!$G$4:$G$110,Detail!$A$4:$A$110,$A$2,Detail!$B$4:$B$110,$A18)</f>
        <v/>
      </c>
      <c r="C18" s="12">
        <f>IFERROR($B18/Assumptions!$B$5,0)</f>
        <v/>
      </c>
      <c r="D18" s="11" t="n">
        <v>23</v>
      </c>
      <c r="E18" s="12">
        <f>$D18*Assumptions!$B$5</f>
        <v/>
      </c>
      <c r="F18" s="13">
        <f>IFERROR($B18/$E18,0)</f>
        <v/>
      </c>
      <c r="G18" s="11" t="inlineStr">
        <is>
          <t>6 on 22 Apr</t>
        </is>
      </c>
    </row>
    <row r="19">
      <c r="A19" s="10" t="inlineStr">
        <is>
          <t>gustavo.palminha</t>
        </is>
      </c>
      <c r="B19" s="12">
        <f>SUMIFS(Detail!$G$4:$G$110,Detail!$A$4:$A$110,$A$2,Detail!$B$4:$B$110,$A19)</f>
        <v/>
      </c>
      <c r="C19" s="12">
        <f>IFERROR($B19/Assumptions!$B$5,0)</f>
        <v/>
      </c>
      <c r="D19" s="11" t="n">
        <v>23</v>
      </c>
      <c r="E19" s="12">
        <f>$D19*Assumptions!$B$5</f>
        <v/>
      </c>
      <c r="F19" s="13">
        <f>IFERROR($B19/$E19,0)</f>
        <v/>
      </c>
      <c r="G19" s="11" t="inlineStr">
        <is>
          <t>5 on 09 Apr</t>
        </is>
      </c>
    </row>
    <row r="20">
      <c r="A20" s="10" t="inlineStr">
        <is>
          <t>alan.silva</t>
        </is>
      </c>
      <c r="B20" s="12">
        <f>SUMIFS(Detail!$G$4:$G$110,Detail!$A$4:$A$110,$A$2,Detail!$B$4:$B$110,$A20)</f>
        <v/>
      </c>
      <c r="C20" s="12">
        <f>IFERROR($B20/Assumptions!$B$5,0)</f>
        <v/>
      </c>
      <c r="D20" s="11" t="n">
        <v>23</v>
      </c>
      <c r="E20" s="12">
        <f>$D20*Assumptions!$B$5</f>
        <v/>
      </c>
      <c r="F20" s="13">
        <f>IFERROR($B20/$E20,0)</f>
        <v/>
      </c>
      <c r="G20" s="11" t="inlineStr">
        <is>
          <t>7 on 17 Apr</t>
        </is>
      </c>
    </row>
    <row r="21">
      <c r="A21" s="3" t="inlineStr">
        <is>
          <t>TOTAL</t>
        </is>
      </c>
      <c r="B21" s="16">
        <f>SUM(B16:B20)</f>
        <v/>
      </c>
      <c r="C21" s="16">
        <f>SUM(C16:C20)</f>
        <v/>
      </c>
      <c r="D21" s="16">
        <f>SUM(D16:D20)</f>
        <v/>
      </c>
      <c r="E21" s="16">
        <f>SUM(E16:E20)</f>
        <v/>
      </c>
      <c r="F21" s="17">
        <f>IFERROR($B21/$E21,0)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Platform Team 6 — WBSO hours, 2025-04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21" t="inlineStr">
        <is>
          <t>24 ticket(s) had hours, but all 24 were filtered out as non-WBSO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2025-04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Prabhukiran Narava</t>
        </is>
      </c>
      <c r="B5" s="10" t="inlineStr">
        <is>
          <t>SUK-5337</t>
        </is>
      </c>
      <c r="C5" s="10" t="inlineStr">
        <is>
          <t xml:space="preserve">SUK-5337 VOP EDS Integration Implementation </t>
        </is>
      </c>
      <c r="D5" s="12">
        <f>SUMIFS(Detail!$G$4:$G$110,Detail!$A$4:$A$110,$A$2,Detail!$B$4:$B$110,$A5,Detail!$C$4:$C$110,$B5)</f>
        <v/>
      </c>
    </row>
    <row r="6">
      <c r="A6" s="10" t="inlineStr">
        <is>
          <t>Ryan Shepherd</t>
        </is>
      </c>
      <c r="B6" s="10" t="inlineStr">
        <is>
          <t>SUK-5337</t>
        </is>
      </c>
      <c r="C6" s="10" t="inlineStr">
        <is>
          <t xml:space="preserve">SUK-5337 VOP EDS Integration Implementation </t>
        </is>
      </c>
      <c r="D6" s="12">
        <f>SUMIFS(Detail!$G$4:$G$110,Detail!$A$4:$A$110,$A$2,Detail!$B$4:$B$110,$A6,Detail!$C$4:$C$110,$B6)</f>
        <v/>
      </c>
    </row>
    <row r="7">
      <c r="A7" s="10" t="inlineStr">
        <is>
          <t>Sanjay Chaudhary</t>
        </is>
      </c>
      <c r="B7" s="10" t="inlineStr">
        <is>
          <t>SUK-5337</t>
        </is>
      </c>
      <c r="C7" s="10" t="inlineStr">
        <is>
          <t xml:space="preserve">SUK-5337 VOP EDS Integration Implementation </t>
        </is>
      </c>
      <c r="D7" s="12">
        <f>SUMIFS(Detail!$G$4:$G$110,Detail!$A$4:$A$110,$A$2,Detail!$B$4:$B$110,$A7,Detail!$C$4:$C$110,$B7)</f>
        <v/>
      </c>
    </row>
    <row r="8">
      <c r="A8" s="10" t="inlineStr">
        <is>
          <t>Julian Mulder</t>
        </is>
      </c>
      <c r="B8" s="10" t="inlineStr">
        <is>
          <t>SUK-5337</t>
        </is>
      </c>
      <c r="C8" s="10" t="inlineStr">
        <is>
          <t xml:space="preserve">SUK-5337 VOP EDS Integration Implementation </t>
        </is>
      </c>
      <c r="D8" s="12">
        <f>SUMIFS(Detail!$G$4:$G$110,Detail!$A$4:$A$110,$A$2,Detail!$B$4:$B$110,$A8,Detail!$C$4:$C$110,$B8)</f>
        <v/>
      </c>
    </row>
    <row r="9">
      <c r="A9" s="18" t="n"/>
      <c r="B9" s="18" t="n"/>
      <c r="C9" s="19" t="inlineStr">
        <is>
          <t>TEAM TOTAL</t>
        </is>
      </c>
      <c r="D9" s="20">
        <f>SUM(D5:D8)</f>
        <v/>
      </c>
    </row>
    <row r="12">
      <c r="A12" s="6" t="inlineStr">
        <is>
          <t>Per engineer</t>
        </is>
      </c>
    </row>
    <row r="13">
      <c r="A13" s="9" t="inlineStr">
        <is>
          <t>Engineer</t>
        </is>
      </c>
      <c r="B13" s="9" t="inlineStr">
        <is>
          <t>WBSO hours</t>
        </is>
      </c>
      <c r="C13" s="9" t="inlineStr">
        <is>
          <t>Day equivalent</t>
        </is>
      </c>
      <c r="D13" s="9" t="inlineStr">
        <is>
          <t>Active days</t>
        </is>
      </c>
      <c r="E13" s="9" t="inlineStr">
        <is>
          <t>Capacity hours</t>
        </is>
      </c>
      <c r="F13" s="9" t="inlineStr">
        <is>
          <t>WBSO share</t>
        </is>
      </c>
      <c r="G13" s="9" t="inlineStr">
        <is>
          <t>Peak tickets/day</t>
        </is>
      </c>
    </row>
    <row r="14">
      <c r="A14" s="10" t="inlineStr">
        <is>
          <t>Prabhukiran Narava</t>
        </is>
      </c>
      <c r="B14" s="12">
        <f>SUMIFS(Detail!$G$4:$G$110,Detail!$A$4:$A$110,$A$2,Detail!$B$4:$B$110,$A14)</f>
        <v/>
      </c>
      <c r="C14" s="12">
        <f>IFERROR($B14/Assumptions!$B$5,0)</f>
        <v/>
      </c>
      <c r="D14" s="11" t="n">
        <v>22</v>
      </c>
      <c r="E14" s="12">
        <f>$D14*Assumptions!$B$5</f>
        <v/>
      </c>
      <c r="F14" s="13">
        <f>IFERROR($B14/$E14,0)</f>
        <v/>
      </c>
      <c r="G14" s="11" t="inlineStr">
        <is>
          <t>4 on 14 Apr</t>
        </is>
      </c>
    </row>
    <row r="15">
      <c r="A15" s="10" t="inlineStr">
        <is>
          <t>Ryan Shepherd</t>
        </is>
      </c>
      <c r="B15" s="12">
        <f>SUMIFS(Detail!$G$4:$G$110,Detail!$A$4:$A$110,$A$2,Detail!$B$4:$B$110,$A15)</f>
        <v/>
      </c>
      <c r="C15" s="12">
        <f>IFERROR($B15/Assumptions!$B$5,0)</f>
        <v/>
      </c>
      <c r="D15" s="11" t="n">
        <v>23</v>
      </c>
      <c r="E15" s="12">
        <f>$D15*Assumptions!$B$5</f>
        <v/>
      </c>
      <c r="F15" s="13">
        <f>IFERROR($B15/$E15,0)</f>
        <v/>
      </c>
      <c r="G15" s="11" t="inlineStr">
        <is>
          <t>4 on 03 Apr</t>
        </is>
      </c>
    </row>
    <row r="16">
      <c r="A16" s="10" t="inlineStr">
        <is>
          <t>Sanjay Chaudhary</t>
        </is>
      </c>
      <c r="B16" s="12">
        <f>SUMIFS(Detail!$G$4:$G$110,Detail!$A$4:$A$110,$A$2,Detail!$B$4:$B$110,$A16)</f>
        <v/>
      </c>
      <c r="C16" s="12">
        <f>IFERROR($B16/Assumptions!$B$5,0)</f>
        <v/>
      </c>
      <c r="D16" s="11" t="n">
        <v>23</v>
      </c>
      <c r="E16" s="12">
        <f>$D16*Assumptions!$B$5</f>
        <v/>
      </c>
      <c r="F16" s="13">
        <f>IFERROR($B16/$E16,0)</f>
        <v/>
      </c>
      <c r="G16" s="11" t="inlineStr">
        <is>
          <t>10 on 04 Apr</t>
        </is>
      </c>
    </row>
    <row r="17">
      <c r="A17" s="10" t="inlineStr">
        <is>
          <t>Julian Mulder</t>
        </is>
      </c>
      <c r="B17" s="12">
        <f>SUMIFS(Detail!$G$4:$G$110,Detail!$A$4:$A$110,$A$2,Detail!$B$4:$B$110,$A17)</f>
        <v/>
      </c>
      <c r="C17" s="12">
        <f>IFERROR($B17/Assumptions!$B$5,0)</f>
        <v/>
      </c>
      <c r="D17" s="11" t="n">
        <v>12</v>
      </c>
      <c r="E17" s="12">
        <f>$D17*Assumptions!$B$5</f>
        <v/>
      </c>
      <c r="F17" s="13">
        <f>IFERROR($B17/$E17,0)</f>
        <v/>
      </c>
      <c r="G17" s="11" t="inlineStr">
        <is>
          <t>3 on 10 Apr</t>
        </is>
      </c>
    </row>
    <row r="18">
      <c r="A18" s="3" t="inlineStr">
        <is>
          <t>TOTAL</t>
        </is>
      </c>
      <c r="B18" s="16">
        <f>SUM(B14:B17)</f>
        <v/>
      </c>
      <c r="C18" s="16">
        <f>SUM(C14:C17)</f>
        <v/>
      </c>
      <c r="D18" s="16">
        <f>SUM(D14:D17)</f>
        <v/>
      </c>
      <c r="E18" s="16">
        <f>SUM(E14:E17)</f>
        <v/>
      </c>
      <c r="F18" s="17">
        <f>IFERROR($B18/$E18,0)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2025-04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Diego Silva</t>
        </is>
      </c>
      <c r="B5" s="10" t="inlineStr">
        <is>
          <t>SPD-2716</t>
        </is>
      </c>
      <c r="C5" s="10" t="inlineStr">
        <is>
          <t>SPD-2716 VoP Data Hosting Interation 1</t>
        </is>
      </c>
      <c r="D5" s="12">
        <f>SUMIFS(Detail!$G$4:$G$110,Detail!$A$4:$A$110,$A$2,Detail!$B$4:$B$110,$A5,Detail!$C$4:$C$110,$B5)</f>
        <v/>
      </c>
    </row>
    <row r="6">
      <c r="A6" s="10" t="inlineStr">
        <is>
          <t>Diego Silva</t>
        </is>
      </c>
      <c r="B6" s="10" t="inlineStr">
        <is>
          <t>SPD-2749</t>
        </is>
      </c>
      <c r="C6" s="10" t="inlineStr">
        <is>
          <t>SPD-2749 VoP Data Hosting Ingester v1</t>
        </is>
      </c>
      <c r="D6" s="12">
        <f>SUMIFS(Detail!$G$4:$G$110,Detail!$A$4:$A$110,$A$2,Detail!$B$4:$B$110,$A6,Detail!$C$4:$C$110,$B6)</f>
        <v/>
      </c>
    </row>
    <row r="7">
      <c r="A7" s="10" t="inlineStr">
        <is>
          <t>Elisabeth Gie</t>
        </is>
      </c>
      <c r="B7" s="10" t="inlineStr">
        <is>
          <t>SPD-2749</t>
        </is>
      </c>
      <c r="C7" s="10" t="inlineStr">
        <is>
          <t>SPD-2749 VoP Data Hosting Ingester v1</t>
        </is>
      </c>
      <c r="D7" s="12">
        <f>SUMIFS(Detail!$G$4:$G$110,Detail!$A$4:$A$110,$A$2,Detail!$B$4:$B$110,$A7,Detail!$C$4:$C$110,$B7)</f>
        <v/>
      </c>
    </row>
    <row r="8">
      <c r="A8" s="10" t="inlineStr">
        <is>
          <t>Sridhar Gnanasekaran</t>
        </is>
      </c>
      <c r="B8" s="10" t="inlineStr">
        <is>
          <t>SPD-2716</t>
        </is>
      </c>
      <c r="C8" s="10" t="inlineStr">
        <is>
          <t>SPD-2716 VoP Data Hosting Interation 1</t>
        </is>
      </c>
      <c r="D8" s="12">
        <f>SUMIFS(Detail!$G$4:$G$110,Detail!$A$4:$A$110,$A$2,Detail!$B$4:$B$110,$A8,Detail!$C$4:$C$110,$B8)</f>
        <v/>
      </c>
    </row>
    <row r="9">
      <c r="A9" s="10" t="inlineStr">
        <is>
          <t>Sridhar Gnanasekaran</t>
        </is>
      </c>
      <c r="B9" s="10" t="inlineStr">
        <is>
          <t>SPD-2724</t>
        </is>
      </c>
      <c r="C9" s="10" t="inlineStr">
        <is>
          <t>SPD-2724 VoP Bulk Checker Iteration 1</t>
        </is>
      </c>
      <c r="D9" s="12">
        <f>SUMIFS(Detail!$G$4:$G$110,Detail!$A$4:$A$110,$A$2,Detail!$B$4:$B$110,$A9,Detail!$C$4:$C$110,$B9)</f>
        <v/>
      </c>
    </row>
    <row r="10">
      <c r="A10" s="10" t="inlineStr">
        <is>
          <t>Gerard Veldman</t>
        </is>
      </c>
      <c r="B10" s="10" t="inlineStr">
        <is>
          <t>SPD-2724</t>
        </is>
      </c>
      <c r="C10" s="10" t="inlineStr">
        <is>
          <t>SPD-2724 VoP Bulk Checker Iteration 1</t>
        </is>
      </c>
      <c r="D10" s="12">
        <f>SUMIFS(Detail!$G$4:$G$110,Detail!$A$4:$A$110,$A$2,Detail!$B$4:$B$110,$A10,Detail!$C$4:$C$110,$B10)</f>
        <v/>
      </c>
    </row>
    <row r="11">
      <c r="A11" s="10" t="inlineStr">
        <is>
          <t>Gerard Veldman</t>
        </is>
      </c>
      <c r="B11" s="10" t="inlineStr">
        <is>
          <t>SPD-2749</t>
        </is>
      </c>
      <c r="C11" s="10" t="inlineStr">
        <is>
          <t>SPD-2749 VoP Data Hosting Ingester v1</t>
        </is>
      </c>
      <c r="D11" s="12">
        <f>SUMIFS(Detail!$G$4:$G$110,Detail!$A$4:$A$110,$A$2,Detail!$B$4:$B$110,$A11,Detail!$C$4:$C$110,$B11)</f>
        <v/>
      </c>
    </row>
    <row r="12">
      <c r="A12" s="10" t="inlineStr">
        <is>
          <t>Juanma Tastzian</t>
        </is>
      </c>
      <c r="B12" s="10" t="inlineStr">
        <is>
          <t>SPD-2716</t>
        </is>
      </c>
      <c r="C12" s="10" t="inlineStr">
        <is>
          <t>SPD-2716 VoP Data Hosting Interation 1</t>
        </is>
      </c>
      <c r="D12" s="12">
        <f>SUMIFS(Detail!$G$4:$G$110,Detail!$A$4:$A$110,$A$2,Detail!$B$4:$B$110,$A12,Detail!$C$4:$C$110,$B12)</f>
        <v/>
      </c>
    </row>
    <row r="13">
      <c r="A13" s="10" t="inlineStr">
        <is>
          <t>Keerthi Shankar</t>
        </is>
      </c>
      <c r="B13" s="10" t="inlineStr">
        <is>
          <t>SPD-2716</t>
        </is>
      </c>
      <c r="C13" s="10" t="inlineStr">
        <is>
          <t>SPD-2716 VoP Data Hosting Interation 1</t>
        </is>
      </c>
      <c r="D13" s="12">
        <f>SUMIFS(Detail!$G$4:$G$110,Detail!$A$4:$A$110,$A$2,Detail!$B$4:$B$110,$A13,Detail!$C$4:$C$110,$B13)</f>
        <v/>
      </c>
    </row>
    <row r="14">
      <c r="A14" s="10" t="inlineStr">
        <is>
          <t>Keerthi Shankar</t>
        </is>
      </c>
      <c r="B14" s="10" t="inlineStr">
        <is>
          <t>SPD-2724</t>
        </is>
      </c>
      <c r="C14" s="10" t="inlineStr">
        <is>
          <t>SPD-2724 VoP Bulk Checker Iteration 1</t>
        </is>
      </c>
      <c r="D14" s="12">
        <f>SUMIFS(Detail!$G$4:$G$110,Detail!$A$4:$A$110,$A$2,Detail!$B$4:$B$110,$A14,Detail!$C$4:$C$110,$B14)</f>
        <v/>
      </c>
    </row>
    <row r="15">
      <c r="A15" s="10" t="inlineStr">
        <is>
          <t>Keerthi Shankar</t>
        </is>
      </c>
      <c r="B15" s="10" t="inlineStr">
        <is>
          <t>SPD-2834</t>
        </is>
      </c>
      <c r="C15" s="10" t="inlineStr">
        <is>
          <t>SPD-2834 VoP Data Hosting Iteration 2</t>
        </is>
      </c>
      <c r="D15" s="12">
        <f>SUMIFS(Detail!$G$4:$G$110,Detail!$A$4:$A$110,$A$2,Detail!$B$4:$B$110,$A15,Detail!$C$4:$C$110,$B15)</f>
        <v/>
      </c>
    </row>
    <row r="16">
      <c r="A16" s="10" t="inlineStr">
        <is>
          <t>Manali Shah</t>
        </is>
      </c>
      <c r="B16" s="10" t="inlineStr">
        <is>
          <t>SPD-2716</t>
        </is>
      </c>
      <c r="C16" s="10" t="inlineStr">
        <is>
          <t>SPD-2716 VoP Data Hosting Interation 1</t>
        </is>
      </c>
      <c r="D16" s="12">
        <f>SUMIFS(Detail!$G$4:$G$110,Detail!$A$4:$A$110,$A$2,Detail!$B$4:$B$110,$A16,Detail!$C$4:$C$110,$B16)</f>
        <v/>
      </c>
    </row>
    <row r="17">
      <c r="A17" s="10" t="inlineStr">
        <is>
          <t>Manali Shah</t>
        </is>
      </c>
      <c r="B17" s="10" t="inlineStr">
        <is>
          <t>SPD-2834</t>
        </is>
      </c>
      <c r="C17" s="10" t="inlineStr">
        <is>
          <t>SPD-2834 VoP Data Hosting Iteration 2</t>
        </is>
      </c>
      <c r="D17" s="12">
        <f>SUMIFS(Detail!$G$4:$G$110,Detail!$A$4:$A$110,$A$2,Detail!$B$4:$B$110,$A17,Detail!$C$4:$C$110,$B17)</f>
        <v/>
      </c>
    </row>
    <row r="18">
      <c r="A18" s="10" t="inlineStr">
        <is>
          <t>Chaitanya Sagi</t>
        </is>
      </c>
      <c r="B18" s="10" t="inlineStr">
        <is>
          <t>SPD-2716</t>
        </is>
      </c>
      <c r="C18" s="10" t="inlineStr">
        <is>
          <t>SPD-2716 VoP Data Hosting Interation 1</t>
        </is>
      </c>
      <c r="D18" s="12">
        <f>SUMIFS(Detail!$G$4:$G$110,Detail!$A$4:$A$110,$A$2,Detail!$B$4:$B$110,$A18,Detail!$C$4:$C$110,$B18)</f>
        <v/>
      </c>
    </row>
    <row r="19">
      <c r="A19" s="10" t="inlineStr">
        <is>
          <t>Chaitanya Sagi</t>
        </is>
      </c>
      <c r="B19" s="10" t="inlineStr">
        <is>
          <t>SPD-2749</t>
        </is>
      </c>
      <c r="C19" s="10" t="inlineStr">
        <is>
          <t>SPD-2749 VoP Data Hosting Ingester v1</t>
        </is>
      </c>
      <c r="D19" s="12">
        <f>SUMIFS(Detail!$G$4:$G$110,Detail!$A$4:$A$110,$A$2,Detail!$B$4:$B$110,$A19,Detail!$C$4:$C$110,$B19)</f>
        <v/>
      </c>
    </row>
    <row r="20">
      <c r="A20" s="10" t="inlineStr">
        <is>
          <t>borys.rudenko</t>
        </is>
      </c>
      <c r="B20" s="10" t="inlineStr">
        <is>
          <t>SPD-2834</t>
        </is>
      </c>
      <c r="C20" s="10" t="inlineStr">
        <is>
          <t>SPD-2834 VoP Data Hosting Iteration 2</t>
        </is>
      </c>
      <c r="D20" s="12">
        <f>SUMIFS(Detail!$G$4:$G$110,Detail!$A$4:$A$110,$A$2,Detail!$B$4:$B$110,$A20,Detail!$C$4:$C$110,$B20)</f>
        <v/>
      </c>
    </row>
    <row r="21">
      <c r="A21" s="10" t="inlineStr">
        <is>
          <t>Ina Nichitean</t>
        </is>
      </c>
      <c r="B21" s="10" t="inlineStr">
        <is>
          <t>SPD-2716</t>
        </is>
      </c>
      <c r="C21" s="10" t="inlineStr">
        <is>
          <t>SPD-2716 VoP Data Hosting Interation 1</t>
        </is>
      </c>
      <c r="D21" s="12">
        <f>SUMIFS(Detail!$G$4:$G$110,Detail!$A$4:$A$110,$A$2,Detail!$B$4:$B$110,$A21,Detail!$C$4:$C$110,$B21)</f>
        <v/>
      </c>
    </row>
    <row r="22">
      <c r="A22" s="10" t="inlineStr">
        <is>
          <t>Alba de Francisco Diaz</t>
        </is>
      </c>
      <c r="B22" s="10" t="inlineStr">
        <is>
          <t>SPD-2716</t>
        </is>
      </c>
      <c r="C22" s="10" t="inlineStr">
        <is>
          <t>SPD-2716 VoP Data Hosting Interation 1</t>
        </is>
      </c>
      <c r="D22" s="12">
        <f>SUMIFS(Detail!$G$4:$G$110,Detail!$A$4:$A$110,$A$2,Detail!$B$4:$B$110,$A22,Detail!$C$4:$C$110,$B22)</f>
        <v/>
      </c>
    </row>
    <row r="23">
      <c r="A23" s="18" t="n"/>
      <c r="B23" s="18" t="n"/>
      <c r="C23" s="19" t="inlineStr">
        <is>
          <t>TEAM TOTAL</t>
        </is>
      </c>
      <c r="D23" s="20">
        <f>SUM(D5:D22)</f>
        <v/>
      </c>
    </row>
    <row r="26">
      <c r="A26" s="6" t="inlineStr">
        <is>
          <t>Per engineer</t>
        </is>
      </c>
    </row>
    <row r="27">
      <c r="A27" s="9" t="inlineStr">
        <is>
          <t>Engineer</t>
        </is>
      </c>
      <c r="B27" s="9" t="inlineStr">
        <is>
          <t>WBSO hours</t>
        </is>
      </c>
      <c r="C27" s="9" t="inlineStr">
        <is>
          <t>Day equivalent</t>
        </is>
      </c>
      <c r="D27" s="9" t="inlineStr">
        <is>
          <t>Active days</t>
        </is>
      </c>
      <c r="E27" s="9" t="inlineStr">
        <is>
          <t>Capacity hours</t>
        </is>
      </c>
      <c r="F27" s="9" t="inlineStr">
        <is>
          <t>WBSO share</t>
        </is>
      </c>
      <c r="G27" s="9" t="inlineStr">
        <is>
          <t>Peak tickets/day</t>
        </is>
      </c>
    </row>
    <row r="28">
      <c r="A28" s="10" t="inlineStr">
        <is>
          <t>Diego Silva</t>
        </is>
      </c>
      <c r="B28" s="12">
        <f>SUMIFS(Detail!$G$4:$G$110,Detail!$A$4:$A$110,$A$2,Detail!$B$4:$B$110,$A28)</f>
        <v/>
      </c>
      <c r="C28" s="12">
        <f>IFERROR($B28/Assumptions!$B$5,0)</f>
        <v/>
      </c>
      <c r="D28" s="11" t="n">
        <v>23</v>
      </c>
      <c r="E28" s="12">
        <f>$D28*Assumptions!$B$5</f>
        <v/>
      </c>
      <c r="F28" s="13">
        <f>IFERROR($B28/$E28,0)</f>
        <v/>
      </c>
      <c r="G28" s="11" t="inlineStr">
        <is>
          <t>6 on 02 Apr</t>
        </is>
      </c>
    </row>
    <row r="29">
      <c r="A29" s="10" t="inlineStr">
        <is>
          <t>Elisabeth Gie</t>
        </is>
      </c>
      <c r="B29" s="12">
        <f>SUMIFS(Detail!$G$4:$G$110,Detail!$A$4:$A$110,$A$2,Detail!$B$4:$B$110,$A29)</f>
        <v/>
      </c>
      <c r="C29" s="12">
        <f>IFERROR($B29/Assumptions!$B$5,0)</f>
        <v/>
      </c>
      <c r="D29" s="11" t="n">
        <v>22</v>
      </c>
      <c r="E29" s="12">
        <f>$D29*Assumptions!$B$5</f>
        <v/>
      </c>
      <c r="F29" s="13">
        <f>IFERROR($B29/$E29,0)</f>
        <v/>
      </c>
      <c r="G29" s="11" t="inlineStr">
        <is>
          <t>1 on 01 Apr</t>
        </is>
      </c>
    </row>
    <row r="30">
      <c r="A30" s="10" t="inlineStr">
        <is>
          <t>Sridhar Gnanasekaran</t>
        </is>
      </c>
      <c r="B30" s="12">
        <f>SUMIFS(Detail!$G$4:$G$110,Detail!$A$4:$A$110,$A$2,Detail!$B$4:$B$110,$A30)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3 on 14 Apr</t>
        </is>
      </c>
    </row>
    <row r="31">
      <c r="A31" s="10" t="inlineStr">
        <is>
          <t>Gerard Veldman</t>
        </is>
      </c>
      <c r="B31" s="12">
        <f>SUMIFS(Detail!$G$4:$G$110,Detail!$A$4:$A$110,$A$2,Detail!$B$4:$B$110,$A31)</f>
        <v/>
      </c>
      <c r="C31" s="12">
        <f>IFERROR($B31/Assumptions!$B$5,0)</f>
        <v/>
      </c>
      <c r="D31" s="11" t="n">
        <v>23</v>
      </c>
      <c r="E31" s="12">
        <f>$D31*Assumptions!$B$5</f>
        <v/>
      </c>
      <c r="F31" s="13">
        <f>IFERROR($B31/$E31,0)</f>
        <v/>
      </c>
      <c r="G31" s="11" t="inlineStr">
        <is>
          <t>5 on 22 Apr</t>
        </is>
      </c>
    </row>
    <row r="32">
      <c r="A32" s="10" t="inlineStr">
        <is>
          <t>Juanma Tastzian</t>
        </is>
      </c>
      <c r="B32" s="12">
        <f>SUMIFS(Detail!$G$4:$G$110,Detail!$A$4:$A$110,$A$2,Detail!$B$4:$B$110,$A32)</f>
        <v/>
      </c>
      <c r="C32" s="12">
        <f>IFERROR($B32/Assumptions!$B$5,0)</f>
        <v/>
      </c>
      <c r="D32" s="11" t="n">
        <v>19</v>
      </c>
      <c r="E32" s="12">
        <f>$D32*Assumptions!$B$5</f>
        <v/>
      </c>
      <c r="F32" s="13">
        <f>IFERROR($B32/$E32,0)</f>
        <v/>
      </c>
      <c r="G32" s="11" t="inlineStr">
        <is>
          <t>3 on 14 Apr</t>
        </is>
      </c>
    </row>
    <row r="33">
      <c r="A33" s="10" t="inlineStr">
        <is>
          <t>Keerthi Shankar</t>
        </is>
      </c>
      <c r="B33" s="12">
        <f>SUMIFS(Detail!$G$4:$G$110,Detail!$A$4:$A$110,$A$2,Detail!$B$4:$B$110,$A33)</f>
        <v/>
      </c>
      <c r="C33" s="12">
        <f>IFERROR($B33/Assumptions!$B$5,0)</f>
        <v/>
      </c>
      <c r="D33" s="11" t="n">
        <v>18</v>
      </c>
      <c r="E33" s="12">
        <f>$D33*Assumptions!$B$5</f>
        <v/>
      </c>
      <c r="F33" s="13">
        <f>IFERROR($B33/$E33,0)</f>
        <v/>
      </c>
      <c r="G33" s="11" t="inlineStr">
        <is>
          <t>4 on 24 Apr</t>
        </is>
      </c>
    </row>
    <row r="34">
      <c r="A34" s="10" t="inlineStr">
        <is>
          <t>Manali Shah</t>
        </is>
      </c>
      <c r="B34" s="12">
        <f>SUMIFS(Detail!$G$4:$G$110,Detail!$A$4:$A$110,$A$2,Detail!$B$4:$B$110,$A34)</f>
        <v/>
      </c>
      <c r="C34" s="12">
        <f>IFERROR($B34/Assumptions!$B$5,0)</f>
        <v/>
      </c>
      <c r="D34" s="11" t="n">
        <v>16</v>
      </c>
      <c r="E34" s="12">
        <f>$D34*Assumptions!$B$5</f>
        <v/>
      </c>
      <c r="F34" s="13">
        <f>IFERROR($B34/$E34,0)</f>
        <v/>
      </c>
      <c r="G34" s="11" t="inlineStr">
        <is>
          <t>3 on 23 Apr</t>
        </is>
      </c>
    </row>
    <row r="35">
      <c r="A35" s="10" t="inlineStr">
        <is>
          <t>Chaitanya Sagi</t>
        </is>
      </c>
      <c r="B35" s="12">
        <f>SUMIFS(Detail!$G$4:$G$110,Detail!$A$4:$A$110,$A$2,Detail!$B$4:$B$110,$A35)</f>
        <v/>
      </c>
      <c r="C35" s="12">
        <f>IFERROR($B35/Assumptions!$B$5,0)</f>
        <v/>
      </c>
      <c r="D35" s="11" t="n">
        <v>23</v>
      </c>
      <c r="E35" s="12">
        <f>$D35*Assumptions!$B$5</f>
        <v/>
      </c>
      <c r="F35" s="13">
        <f>IFERROR($B35/$E35,0)</f>
        <v/>
      </c>
      <c r="G35" s="11" t="inlineStr">
        <is>
          <t>7 on 07 Apr</t>
        </is>
      </c>
    </row>
    <row r="36">
      <c r="A36" s="10" t="inlineStr">
        <is>
          <t>borys.rudenko</t>
        </is>
      </c>
      <c r="B36" s="12">
        <f>SUMIFS(Detail!$G$4:$G$110,Detail!$A$4:$A$110,$A$2,Detail!$B$4:$B$110,$A36)</f>
        <v/>
      </c>
      <c r="C36" s="12">
        <f>IFERROR($B36/Assumptions!$B$5,0)</f>
        <v/>
      </c>
      <c r="D36" s="11" t="n">
        <v>8</v>
      </c>
      <c r="E36" s="12">
        <f>$D36*Assumptions!$B$5</f>
        <v/>
      </c>
      <c r="F36" s="13">
        <f>IFERROR($B36/$E36,0)</f>
        <v/>
      </c>
      <c r="G36" s="11" t="inlineStr">
        <is>
          <t>1 on 22 Apr</t>
        </is>
      </c>
    </row>
    <row r="37">
      <c r="A37" s="10" t="inlineStr">
        <is>
          <t>Ina Nichitean</t>
        </is>
      </c>
      <c r="B37" s="12">
        <f>SUMIFS(Detail!$G$4:$G$110,Detail!$A$4:$A$110,$A$2,Detail!$B$4:$B$110,$A37)</f>
        <v/>
      </c>
      <c r="C37" s="12">
        <f>IFERROR($B37/Assumptions!$B$5,0)</f>
        <v/>
      </c>
      <c r="D37" s="11" t="n">
        <v>5</v>
      </c>
      <c r="E37" s="12">
        <f>$D37*Assumptions!$B$5</f>
        <v/>
      </c>
      <c r="F37" s="13">
        <f>IFERROR($B37/$E37,0)</f>
        <v/>
      </c>
      <c r="G37" s="11" t="inlineStr">
        <is>
          <t>1 on 01 Apr</t>
        </is>
      </c>
    </row>
    <row r="38">
      <c r="A38" s="10" t="inlineStr">
        <is>
          <t>Alba de Francisco Diaz</t>
        </is>
      </c>
      <c r="B38" s="12">
        <f>SUMIFS(Detail!$G$4:$G$110,Detail!$A$4:$A$110,$A$2,Detail!$B$4:$B$110,$A38)</f>
        <v/>
      </c>
      <c r="C38" s="12">
        <f>IFERROR($B38/Assumptions!$B$5,0)</f>
        <v/>
      </c>
      <c r="D38" s="11" t="n">
        <v>1</v>
      </c>
      <c r="E38" s="12">
        <f>$D38*Assumptions!$B$5</f>
        <v/>
      </c>
      <c r="F38" s="13">
        <f>IFERROR($B38/$E38,0)</f>
        <v/>
      </c>
      <c r="G38" s="11" t="inlineStr">
        <is>
          <t>1 on 03 Apr</t>
        </is>
      </c>
    </row>
    <row r="39">
      <c r="A39" s="3" t="inlineStr">
        <is>
          <t>TOTAL</t>
        </is>
      </c>
      <c r="B39" s="16">
        <f>SUM(B28:B38)</f>
        <v/>
      </c>
      <c r="C39" s="16">
        <f>SUM(C28:C38)</f>
        <v/>
      </c>
      <c r="D39" s="16">
        <f>SUM(D28:D38)</f>
        <v/>
      </c>
      <c r="E39" s="16">
        <f>SUM(E28:E38)</f>
        <v/>
      </c>
      <c r="F39" s="17">
        <f>IFERROR($B39/$E39,0)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2025-04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Orwa Badran</t>
        </is>
      </c>
      <c r="B5" s="10" t="inlineStr">
        <is>
          <t>SDO-6876</t>
        </is>
      </c>
      <c r="C5" s="10" t="inlineStr">
        <is>
          <t>SDO-6876 VoP Gateway solution</t>
        </is>
      </c>
      <c r="D5" s="12">
        <f>SUMIFS(Detail!$G$4:$G$110,Detail!$A$4:$A$110,$A$2,Detail!$B$4:$B$110,$A5,Detail!$C$4:$C$110,$B5)</f>
        <v/>
      </c>
    </row>
    <row r="6">
      <c r="A6" s="10" t="inlineStr">
        <is>
          <t>Orwa Badran</t>
        </is>
      </c>
      <c r="B6" s="10" t="inlineStr">
        <is>
          <t>SDO-7209</t>
        </is>
      </c>
      <c r="C6" s="10" t="inlineStr">
        <is>
          <t xml:space="preserve">SDO-7209 VoP Data Provisioning </t>
        </is>
      </c>
      <c r="D6" s="12">
        <f>SUMIFS(Detail!$G$4:$G$110,Detail!$A$4:$A$110,$A$2,Detail!$B$4:$B$110,$A6,Detail!$C$4:$C$110,$B6)</f>
        <v/>
      </c>
    </row>
    <row r="7">
      <c r="A7" s="10" t="inlineStr">
        <is>
          <t>Ismail Kuyu</t>
        </is>
      </c>
      <c r="B7" s="10" t="inlineStr">
        <is>
          <t>SDO-6876</t>
        </is>
      </c>
      <c r="C7" s="10" t="inlineStr">
        <is>
          <t>SDO-6876 VoP Gateway solution</t>
        </is>
      </c>
      <c r="D7" s="12">
        <f>SUMIFS(Detail!$G$4:$G$110,Detail!$A$4:$A$110,$A$2,Detail!$B$4:$B$110,$A7,Detail!$C$4:$C$110,$B7)</f>
        <v/>
      </c>
    </row>
    <row r="8">
      <c r="A8" s="10" t="inlineStr">
        <is>
          <t>Ismail Kuyu</t>
        </is>
      </c>
      <c r="B8" s="10" t="inlineStr">
        <is>
          <t>SDO-7144</t>
        </is>
      </c>
      <c r="C8" s="10" t="inlineStr">
        <is>
          <t>SDO-7144 VoP Bank API extended</t>
        </is>
      </c>
      <c r="D8" s="12">
        <f>SUMIFS(Detail!$G$4:$G$110,Detail!$A$4:$A$110,$A$2,Detail!$B$4:$B$110,$A8,Detail!$C$4:$C$110,$B8)</f>
        <v/>
      </c>
    </row>
    <row r="9">
      <c r="A9" s="10" t="inlineStr">
        <is>
          <t>Ismail Kuyu</t>
        </is>
      </c>
      <c r="B9" s="10" t="inlineStr">
        <is>
          <t>SDO-7209</t>
        </is>
      </c>
      <c r="C9" s="10" t="inlineStr">
        <is>
          <t xml:space="preserve">SDO-7209 VoP Data Provisioning </t>
        </is>
      </c>
      <c r="D9" s="12">
        <f>SUMIFS(Detail!$G$4:$G$110,Detail!$A$4:$A$110,$A$2,Detail!$B$4:$B$110,$A9,Detail!$C$4:$C$110,$B9)</f>
        <v/>
      </c>
    </row>
    <row r="10">
      <c r="A10" s="10" t="inlineStr">
        <is>
          <t>Adorjan Fritz</t>
        </is>
      </c>
      <c r="B10" s="10" t="inlineStr">
        <is>
          <t>SDO-5021</t>
        </is>
      </c>
      <c r="C10" s="10" t="inlineStr">
        <is>
          <t xml:space="preserve">SDO-5021 Service Improvements </t>
        </is>
      </c>
      <c r="D10" s="12">
        <f>SUMIFS(Detail!$G$4:$G$110,Detail!$A$4:$A$110,$A$2,Detail!$B$4:$B$110,$A10,Detail!$C$4:$C$110,$B10)</f>
        <v/>
      </c>
    </row>
    <row r="11">
      <c r="A11" s="10" t="inlineStr">
        <is>
          <t>Adorjan Fritz</t>
        </is>
      </c>
      <c r="B11" s="10" t="inlineStr">
        <is>
          <t>SDO-6876</t>
        </is>
      </c>
      <c r="C11" s="10" t="inlineStr">
        <is>
          <t>SDO-6876 VoP Gateway solution</t>
        </is>
      </c>
      <c r="D11" s="12">
        <f>SUMIFS(Detail!$G$4:$G$110,Detail!$A$4:$A$110,$A$2,Detail!$B$4:$B$110,$A11,Detail!$C$4:$C$110,$B11)</f>
        <v/>
      </c>
    </row>
    <row r="12">
      <c r="A12" s="10" t="inlineStr">
        <is>
          <t>Sandhya Pai</t>
        </is>
      </c>
      <c r="B12" s="10" t="inlineStr">
        <is>
          <t>SDO-6876</t>
        </is>
      </c>
      <c r="C12" s="10" t="inlineStr">
        <is>
          <t>SDO-6876 VoP Gateway solution</t>
        </is>
      </c>
      <c r="D12" s="12">
        <f>SUMIFS(Detail!$G$4:$G$110,Detail!$A$4:$A$110,$A$2,Detail!$B$4:$B$110,$A12,Detail!$C$4:$C$110,$B12)</f>
        <v/>
      </c>
    </row>
    <row r="13">
      <c r="A13" s="10" t="inlineStr">
        <is>
          <t>Sandhya Pai</t>
        </is>
      </c>
      <c r="B13" s="10" t="inlineStr">
        <is>
          <t>SDO-7438</t>
        </is>
      </c>
      <c r="C13" s="10" t="inlineStr">
        <is>
          <t>SDO-7438 VOP Gateway - Enhancements</t>
        </is>
      </c>
      <c r="D13" s="12">
        <f>SUMIFS(Detail!$G$4:$G$110,Detail!$A$4:$A$110,$A$2,Detail!$B$4:$B$110,$A13,Detail!$C$4:$C$110,$B13)</f>
        <v/>
      </c>
    </row>
    <row r="14">
      <c r="A14" s="10" t="inlineStr">
        <is>
          <t>Ioannis Argyroulis</t>
        </is>
      </c>
      <c r="B14" s="10" t="inlineStr">
        <is>
          <t>SDO-5021</t>
        </is>
      </c>
      <c r="C14" s="10" t="inlineStr">
        <is>
          <t xml:space="preserve">SDO-5021 Service Improvements </t>
        </is>
      </c>
      <c r="D14" s="12">
        <f>SUMIFS(Detail!$G$4:$G$110,Detail!$A$4:$A$110,$A$2,Detail!$B$4:$B$110,$A14,Detail!$C$4:$C$110,$B14)</f>
        <v/>
      </c>
    </row>
    <row r="15">
      <c r="A15" s="10" t="inlineStr">
        <is>
          <t>Ioannis Argyroulis</t>
        </is>
      </c>
      <c r="B15" s="10" t="inlineStr">
        <is>
          <t>SDO-6876</t>
        </is>
      </c>
      <c r="C15" s="10" t="inlineStr">
        <is>
          <t>SDO-6876 VoP Gateway solution</t>
        </is>
      </c>
      <c r="D15" s="12">
        <f>SUMIFS(Detail!$G$4:$G$110,Detail!$A$4:$A$110,$A$2,Detail!$B$4:$B$110,$A15,Detail!$C$4:$C$110,$B15)</f>
        <v/>
      </c>
    </row>
    <row r="16">
      <c r="A16" s="10" t="inlineStr">
        <is>
          <t>Ioannis Argyroulis</t>
        </is>
      </c>
      <c r="B16" s="10" t="inlineStr">
        <is>
          <t>SDO-7209</t>
        </is>
      </c>
      <c r="C16" s="10" t="inlineStr">
        <is>
          <t xml:space="preserve">SDO-7209 VoP Data Provisioning </t>
        </is>
      </c>
      <c r="D16" s="12">
        <f>SUMIFS(Detail!$G$4:$G$110,Detail!$A$4:$A$110,$A$2,Detail!$B$4:$B$110,$A16,Detail!$C$4:$C$110,$B16)</f>
        <v/>
      </c>
    </row>
    <row r="17">
      <c r="A17" s="10" t="inlineStr">
        <is>
          <t>Muhammad Sulaiman</t>
        </is>
      </c>
      <c r="B17" s="10" t="inlineStr">
        <is>
          <t>SDO-5021</t>
        </is>
      </c>
      <c r="C17" s="10" t="inlineStr">
        <is>
          <t xml:space="preserve">SDO-5021 Service Improvements </t>
        </is>
      </c>
      <c r="D17" s="12">
        <f>SUMIFS(Detail!$G$4:$G$110,Detail!$A$4:$A$110,$A$2,Detail!$B$4:$B$110,$A17,Detail!$C$4:$C$110,$B17)</f>
        <v/>
      </c>
    </row>
    <row r="18">
      <c r="A18" s="10" t="inlineStr">
        <is>
          <t>Muhammad Sulaiman</t>
        </is>
      </c>
      <c r="B18" s="10" t="inlineStr">
        <is>
          <t>SDO-7209</t>
        </is>
      </c>
      <c r="C18" s="10" t="inlineStr">
        <is>
          <t xml:space="preserve">SDO-7209 VoP Data Provisioning </t>
        </is>
      </c>
      <c r="D18" s="12">
        <f>SUMIFS(Detail!$G$4:$G$110,Detail!$A$4:$A$110,$A$2,Detail!$B$4:$B$110,$A18,Detail!$C$4:$C$110,$B18)</f>
        <v/>
      </c>
    </row>
    <row r="19">
      <c r="A19" s="10" t="inlineStr">
        <is>
          <t>Rachel Guzman V</t>
        </is>
      </c>
      <c r="B19" s="10" t="inlineStr">
        <is>
          <t>SDO-6876</t>
        </is>
      </c>
      <c r="C19" s="10" t="inlineStr">
        <is>
          <t>SDO-6876 VoP Gateway solution</t>
        </is>
      </c>
      <c r="D19" s="12">
        <f>SUMIFS(Detail!$G$4:$G$110,Detail!$A$4:$A$110,$A$2,Detail!$B$4:$B$110,$A19,Detail!$C$4:$C$110,$B19)</f>
        <v/>
      </c>
    </row>
    <row r="20">
      <c r="A20" s="10" t="inlineStr">
        <is>
          <t>Jay Pavlenko</t>
        </is>
      </c>
      <c r="B20" s="10" t="inlineStr">
        <is>
          <t>SDO-6876</t>
        </is>
      </c>
      <c r="C20" s="10" t="inlineStr">
        <is>
          <t>SDO-6876 VoP Gateway solution</t>
        </is>
      </c>
      <c r="D20" s="12">
        <f>SUMIFS(Detail!$G$4:$G$110,Detail!$A$4:$A$110,$A$2,Detail!$B$4:$B$110,$A20,Detail!$C$4:$C$110,$B20)</f>
        <v/>
      </c>
    </row>
    <row r="21">
      <c r="A21" s="10" t="inlineStr">
        <is>
          <t>Sheik Farzand Razi</t>
        </is>
      </c>
      <c r="B21" s="10" t="inlineStr">
        <is>
          <t>SDO-5021</t>
        </is>
      </c>
      <c r="C21" s="10" t="inlineStr">
        <is>
          <t xml:space="preserve">SDO-5021 Service Improvements </t>
        </is>
      </c>
      <c r="D21" s="12">
        <f>SUMIFS(Detail!$G$4:$G$110,Detail!$A$4:$A$110,$A$2,Detail!$B$4:$B$110,$A21,Detail!$C$4:$C$110,$B21)</f>
        <v/>
      </c>
    </row>
    <row r="22">
      <c r="A22" s="10" t="inlineStr">
        <is>
          <t>Sheik Farzand Razi</t>
        </is>
      </c>
      <c r="B22" s="10" t="inlineStr">
        <is>
          <t>SDO-6876</t>
        </is>
      </c>
      <c r="C22" s="10" t="inlineStr">
        <is>
          <t>SDO-6876 VoP Gateway solution</t>
        </is>
      </c>
      <c r="D22" s="12">
        <f>SUMIFS(Detail!$G$4:$G$110,Detail!$A$4:$A$110,$A$2,Detail!$B$4:$B$110,$A22,Detail!$C$4:$C$110,$B22)</f>
        <v/>
      </c>
    </row>
    <row r="23">
      <c r="A23" s="10" t="inlineStr">
        <is>
          <t>Sheik Farzand Razi</t>
        </is>
      </c>
      <c r="B23" s="10" t="inlineStr">
        <is>
          <t>SDO-7209</t>
        </is>
      </c>
      <c r="C23" s="10" t="inlineStr">
        <is>
          <t xml:space="preserve">SDO-7209 VoP Data Provisioning </t>
        </is>
      </c>
      <c r="D23" s="12">
        <f>SUMIFS(Detail!$G$4:$G$110,Detail!$A$4:$A$110,$A$2,Detail!$B$4:$B$110,$A23,Detail!$C$4:$C$110,$B23)</f>
        <v/>
      </c>
    </row>
    <row r="24">
      <c r="A24" s="18" t="n"/>
      <c r="B24" s="18" t="n"/>
      <c r="C24" s="19" t="inlineStr">
        <is>
          <t>TEAM TOTAL</t>
        </is>
      </c>
      <c r="D24" s="20">
        <f>SUM(D5:D23)</f>
        <v/>
      </c>
    </row>
    <row r="27">
      <c r="A27" s="6" t="inlineStr">
        <is>
          <t>Per engineer</t>
        </is>
      </c>
    </row>
    <row r="28">
      <c r="A28" s="9" t="inlineStr">
        <is>
          <t>Engineer</t>
        </is>
      </c>
      <c r="B28" s="9" t="inlineStr">
        <is>
          <t>WBSO hours</t>
        </is>
      </c>
      <c r="C28" s="9" t="inlineStr">
        <is>
          <t>Day equivalent</t>
        </is>
      </c>
      <c r="D28" s="9" t="inlineStr">
        <is>
          <t>Active days</t>
        </is>
      </c>
      <c r="E28" s="9" t="inlineStr">
        <is>
          <t>Capacity hours</t>
        </is>
      </c>
      <c r="F28" s="9" t="inlineStr">
        <is>
          <t>WBSO share</t>
        </is>
      </c>
      <c r="G28" s="9" t="inlineStr">
        <is>
          <t>Peak tickets/day</t>
        </is>
      </c>
    </row>
    <row r="29">
      <c r="A29" s="10" t="inlineStr">
        <is>
          <t>Orwa Badran</t>
        </is>
      </c>
      <c r="B29" s="12">
        <f>SUMIFS(Detail!$G$4:$G$110,Detail!$A$4:$A$110,$A$2,Detail!$B$4:$B$110,$A29)</f>
        <v/>
      </c>
      <c r="C29" s="12">
        <f>IFERROR($B29/Assumptions!$B$5,0)</f>
        <v/>
      </c>
      <c r="D29" s="11" t="n">
        <v>23</v>
      </c>
      <c r="E29" s="12">
        <f>$D29*Assumptions!$B$5</f>
        <v/>
      </c>
      <c r="F29" s="13">
        <f>IFERROR($B29/$E29,0)</f>
        <v/>
      </c>
      <c r="G29" s="11" t="inlineStr">
        <is>
          <t>5 on 01 Apr</t>
        </is>
      </c>
    </row>
    <row r="30">
      <c r="A30" s="10" t="inlineStr">
        <is>
          <t>Ismail Kuyu</t>
        </is>
      </c>
      <c r="B30" s="12">
        <f>SUMIFS(Detail!$G$4:$G$110,Detail!$A$4:$A$110,$A$2,Detail!$B$4:$B$110,$A30)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6 on 14 Apr</t>
        </is>
      </c>
    </row>
    <row r="31">
      <c r="A31" s="10" t="inlineStr">
        <is>
          <t>Adorjan Fritz</t>
        </is>
      </c>
      <c r="B31" s="12">
        <f>SUMIFS(Detail!$G$4:$G$110,Detail!$A$4:$A$110,$A$2,Detail!$B$4:$B$110,$A31)</f>
        <v/>
      </c>
      <c r="C31" s="12">
        <f>IFERROR($B31/Assumptions!$B$5,0)</f>
        <v/>
      </c>
      <c r="D31" s="11" t="n">
        <v>22</v>
      </c>
      <c r="E31" s="12">
        <f>$D31*Assumptions!$B$5</f>
        <v/>
      </c>
      <c r="F31" s="13">
        <f>IFERROR($B31/$E31,0)</f>
        <v/>
      </c>
      <c r="G31" s="11" t="inlineStr">
        <is>
          <t>6 on 24 Apr</t>
        </is>
      </c>
    </row>
    <row r="32">
      <c r="A32" s="10" t="inlineStr">
        <is>
          <t>Sandhya Pai</t>
        </is>
      </c>
      <c r="B32" s="12">
        <f>SUMIFS(Detail!$G$4:$G$110,Detail!$A$4:$A$110,$A$2,Detail!$B$4:$B$110,$A32)</f>
        <v/>
      </c>
      <c r="C32" s="12">
        <f>IFERROR($B32/Assumptions!$B$5,0)</f>
        <v/>
      </c>
      <c r="D32" s="11" t="n">
        <v>22</v>
      </c>
      <c r="E32" s="12">
        <f>$D32*Assumptions!$B$5</f>
        <v/>
      </c>
      <c r="F32" s="13">
        <f>IFERROR($B32/$E32,0)</f>
        <v/>
      </c>
      <c r="G32" s="11" t="inlineStr">
        <is>
          <t>3 on 01 Apr</t>
        </is>
      </c>
    </row>
    <row r="33">
      <c r="A33" s="10" t="inlineStr">
        <is>
          <t>Ioannis Argyroulis</t>
        </is>
      </c>
      <c r="B33" s="12">
        <f>SUMIFS(Detail!$G$4:$G$110,Detail!$A$4:$A$110,$A$2,Detail!$B$4:$B$110,$A33)</f>
        <v/>
      </c>
      <c r="C33" s="12">
        <f>IFERROR($B33/Assumptions!$B$5,0)</f>
        <v/>
      </c>
      <c r="D33" s="11" t="n">
        <v>12</v>
      </c>
      <c r="E33" s="12">
        <f>$D33*Assumptions!$B$5</f>
        <v/>
      </c>
      <c r="F33" s="13">
        <f>IFERROR($B33/$E33,0)</f>
        <v/>
      </c>
      <c r="G33" s="11" t="inlineStr">
        <is>
          <t>5 on 01 Apr</t>
        </is>
      </c>
    </row>
    <row r="34">
      <c r="A34" s="10" t="inlineStr">
        <is>
          <t>Muhammad Sulaiman</t>
        </is>
      </c>
      <c r="B34" s="12">
        <f>SUMIFS(Detail!$G$4:$G$110,Detail!$A$4:$A$110,$A$2,Detail!$B$4:$B$110,$A34)</f>
        <v/>
      </c>
      <c r="C34" s="12">
        <f>IFERROR($B34/Assumptions!$B$5,0)</f>
        <v/>
      </c>
      <c r="D34" s="11" t="n">
        <v>22</v>
      </c>
      <c r="E34" s="12">
        <f>$D34*Assumptions!$B$5</f>
        <v/>
      </c>
      <c r="F34" s="13">
        <f>IFERROR($B34/$E34,0)</f>
        <v/>
      </c>
      <c r="G34" s="11" t="inlineStr">
        <is>
          <t>3 on 28 Apr</t>
        </is>
      </c>
    </row>
    <row r="35">
      <c r="A35" s="10" t="inlineStr">
        <is>
          <t>Rachel Guzman V</t>
        </is>
      </c>
      <c r="B35" s="12">
        <f>SUMIFS(Detail!$G$4:$G$110,Detail!$A$4:$A$110,$A$2,Detail!$B$4:$B$110,$A35)</f>
        <v/>
      </c>
      <c r="C35" s="12">
        <f>IFERROR($B35/Assumptions!$B$5,0)</f>
        <v/>
      </c>
      <c r="D35" s="11" t="n">
        <v>5</v>
      </c>
      <c r="E35" s="12">
        <f>$D35*Assumptions!$B$5</f>
        <v/>
      </c>
      <c r="F35" s="13">
        <f>IFERROR($B35/$E35,0)</f>
        <v/>
      </c>
      <c r="G35" s="11" t="inlineStr">
        <is>
          <t>1 on 01 Apr</t>
        </is>
      </c>
    </row>
    <row r="36">
      <c r="A36" s="10" t="inlineStr">
        <is>
          <t>Jay Pavlenko</t>
        </is>
      </c>
      <c r="B36" s="12">
        <f>SUMIFS(Detail!$G$4:$G$110,Detail!$A$4:$A$110,$A$2,Detail!$B$4:$B$110,$A36)</f>
        <v/>
      </c>
      <c r="C36" s="12">
        <f>IFERROR($B36/Assumptions!$B$5,0)</f>
        <v/>
      </c>
      <c r="D36" s="11" t="n">
        <v>16</v>
      </c>
      <c r="E36" s="12">
        <f>$D36*Assumptions!$B$5</f>
        <v/>
      </c>
      <c r="F36" s="13">
        <f>IFERROR($B36/$E36,0)</f>
        <v/>
      </c>
      <c r="G36" s="11" t="inlineStr">
        <is>
          <t>3 on 18 Apr</t>
        </is>
      </c>
    </row>
    <row r="37">
      <c r="A37" s="10" t="inlineStr">
        <is>
          <t>Sheik Farzand Razi</t>
        </is>
      </c>
      <c r="B37" s="12">
        <f>SUMIFS(Detail!$G$4:$G$110,Detail!$A$4:$A$110,$A$2,Detail!$B$4:$B$110,$A37)</f>
        <v/>
      </c>
      <c r="C37" s="12">
        <f>IFERROR($B37/Assumptions!$B$5,0)</f>
        <v/>
      </c>
      <c r="D37" s="11" t="n">
        <v>20</v>
      </c>
      <c r="E37" s="12">
        <f>$D37*Assumptions!$B$5</f>
        <v/>
      </c>
      <c r="F37" s="13">
        <f>IFERROR($B37/$E37,0)</f>
        <v/>
      </c>
      <c r="G37" s="11" t="inlineStr">
        <is>
          <t>4 on 23 Apr</t>
        </is>
      </c>
    </row>
    <row r="38">
      <c r="A38" s="3" t="inlineStr">
        <is>
          <t>TOTAL</t>
        </is>
      </c>
      <c r="B38" s="16">
        <f>SUM(B29:B37)</f>
        <v/>
      </c>
      <c r="C38" s="16">
        <f>SUM(C29:C37)</f>
        <v/>
      </c>
      <c r="D38" s="16">
        <f>SUM(D29:D37)</f>
        <v/>
      </c>
      <c r="E38" s="16">
        <f>SUM(E29:E37)</f>
        <v/>
      </c>
      <c r="F38" s="17">
        <f>IFERROR($B38/$E38,0)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2025-04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Richard Oliver</t>
        </is>
      </c>
      <c r="B5" s="10" t="inlineStr">
        <is>
          <t>YODA-1338</t>
        </is>
      </c>
      <c r="C5" s="10" t="inlineStr">
        <is>
          <t>YODA-1338 Auditing &amp; Dashboard POCs</t>
        </is>
      </c>
      <c r="D5" s="12">
        <f>SUMIFS(Detail!$G$4:$G$110,Detail!$A$4:$A$110,$A$2,Detail!$B$4:$B$110,$A5,Detail!$C$4:$C$110,$B5)</f>
        <v/>
      </c>
    </row>
    <row r="6">
      <c r="A6" s="10" t="inlineStr">
        <is>
          <t>Richard Oliver</t>
        </is>
      </c>
      <c r="B6" s="10" t="inlineStr">
        <is>
          <t>YODA-1430</t>
        </is>
      </c>
      <c r="C6" s="10" t="inlineStr">
        <is>
          <t>YODA-1430 [Audit] Roll out</t>
        </is>
      </c>
      <c r="D6" s="12">
        <f>SUMIFS(Detail!$G$4:$G$110,Detail!$A$4:$A$110,$A$2,Detail!$B$4:$B$110,$A6,Detail!$C$4:$C$110,$B6)</f>
        <v/>
      </c>
    </row>
    <row r="7">
      <c r="A7" s="10" t="inlineStr">
        <is>
          <t>Parth Mewada</t>
        </is>
      </c>
      <c r="B7" s="10" t="inlineStr">
        <is>
          <t>YODA-1430</t>
        </is>
      </c>
      <c r="C7" s="10" t="inlineStr">
        <is>
          <t>YODA-1430 [Audit] Roll out</t>
        </is>
      </c>
      <c r="D7" s="12">
        <f>SUMIFS(Detail!$G$4:$G$110,Detail!$A$4:$A$110,$A$2,Detail!$B$4:$B$110,$A7,Detail!$C$4:$C$110,$B7)</f>
        <v/>
      </c>
    </row>
    <row r="8">
      <c r="A8" s="10" t="inlineStr">
        <is>
          <t>Ramseshu Ghanta</t>
        </is>
      </c>
      <c r="B8" s="10" t="inlineStr">
        <is>
          <t>YODA-1046</t>
        </is>
      </c>
      <c r="C8" s="10" t="inlineStr">
        <is>
          <t>YODA-1046 OPA - JPM V1</t>
        </is>
      </c>
      <c r="D8" s="12">
        <f>SUMIFS(Detail!$G$4:$G$110,Detail!$A$4:$A$110,$A$2,Detail!$B$4:$B$110,$A8,Detail!$C$4:$C$110,$B8)</f>
        <v/>
      </c>
    </row>
    <row r="9">
      <c r="A9" s="10" t="inlineStr">
        <is>
          <t>Ramseshu Ghanta</t>
        </is>
      </c>
      <c r="B9" s="10" t="inlineStr">
        <is>
          <t>YODA-1430</t>
        </is>
      </c>
      <c r="C9" s="10" t="inlineStr">
        <is>
          <t>YODA-1430 [Audit] Roll out</t>
        </is>
      </c>
      <c r="D9" s="12">
        <f>SUMIFS(Detail!$G$4:$G$110,Detail!$A$4:$A$110,$A$2,Detail!$B$4:$B$110,$A9,Detail!$C$4:$C$110,$B9)</f>
        <v/>
      </c>
    </row>
    <row r="10">
      <c r="A10" s="10" t="inlineStr">
        <is>
          <t>Mark Moorcroft</t>
        </is>
      </c>
      <c r="B10" s="10" t="inlineStr">
        <is>
          <t>YODA-1046</t>
        </is>
      </c>
      <c r="C10" s="10" t="inlineStr">
        <is>
          <t>YODA-1046 OPA - JPM V1</t>
        </is>
      </c>
      <c r="D10" s="12">
        <f>SUMIFS(Detail!$G$4:$G$110,Detail!$A$4:$A$110,$A$2,Detail!$B$4:$B$110,$A10,Detail!$C$4:$C$110,$B10)</f>
        <v/>
      </c>
    </row>
    <row r="11">
      <c r="A11" s="10" t="inlineStr">
        <is>
          <t>Mark Moorcroft</t>
        </is>
      </c>
      <c r="B11" s="10" t="inlineStr">
        <is>
          <t>YODA-1430</t>
        </is>
      </c>
      <c r="C11" s="10" t="inlineStr">
        <is>
          <t>YODA-1430 [Audit] Roll out</t>
        </is>
      </c>
      <c r="D11" s="12">
        <f>SUMIFS(Detail!$G$4:$G$110,Detail!$A$4:$A$110,$A$2,Detail!$B$4:$B$110,$A11,Detail!$C$4:$C$110,$B11)</f>
        <v/>
      </c>
    </row>
    <row r="12">
      <c r="A12" s="18" t="n"/>
      <c r="B12" s="18" t="n"/>
      <c r="C12" s="19" t="inlineStr">
        <is>
          <t>TEAM TOTAL</t>
        </is>
      </c>
      <c r="D12" s="20">
        <f>SUM(D5:D11)</f>
        <v/>
      </c>
    </row>
    <row r="15">
      <c r="A15" s="6" t="inlineStr">
        <is>
          <t>Per engineer</t>
        </is>
      </c>
    </row>
    <row r="16">
      <c r="A16" s="9" t="inlineStr">
        <is>
          <t>Engineer</t>
        </is>
      </c>
      <c r="B16" s="9" t="inlineStr">
        <is>
          <t>WBSO hours</t>
        </is>
      </c>
      <c r="C16" s="9" t="inlineStr">
        <is>
          <t>Day equivalent</t>
        </is>
      </c>
      <c r="D16" s="9" t="inlineStr">
        <is>
          <t>Active days</t>
        </is>
      </c>
      <c r="E16" s="9" t="inlineStr">
        <is>
          <t>Capacity hours</t>
        </is>
      </c>
      <c r="F16" s="9" t="inlineStr">
        <is>
          <t>WBSO share</t>
        </is>
      </c>
      <c r="G16" s="9" t="inlineStr">
        <is>
          <t>Peak tickets/day</t>
        </is>
      </c>
    </row>
    <row r="17">
      <c r="A17" s="10" t="inlineStr">
        <is>
          <t>Richard Oliver</t>
        </is>
      </c>
      <c r="B17" s="12">
        <f>SUMIFS(Detail!$G$4:$G$110,Detail!$A$4:$A$110,$A$2,Detail!$B$4:$B$110,$A17)</f>
        <v/>
      </c>
      <c r="C17" s="12">
        <f>IFERROR($B17/Assumptions!$B$5,0)</f>
        <v/>
      </c>
      <c r="D17" s="11" t="n">
        <v>23</v>
      </c>
      <c r="E17" s="12">
        <f>$D17*Assumptions!$B$5</f>
        <v/>
      </c>
      <c r="F17" s="13">
        <f>IFERROR($B17/$E17,0)</f>
        <v/>
      </c>
      <c r="G17" s="11" t="inlineStr">
        <is>
          <t>2 on 01 Apr</t>
        </is>
      </c>
    </row>
    <row r="18">
      <c r="A18" s="10" t="inlineStr">
        <is>
          <t>Parth Mewada</t>
        </is>
      </c>
      <c r="B18" s="12">
        <f>SUMIFS(Detail!$G$4:$G$110,Detail!$A$4:$A$110,$A$2,Detail!$B$4:$B$110,$A18)</f>
        <v/>
      </c>
      <c r="C18" s="12">
        <f>IFERROR($B18/Assumptions!$B$5,0)</f>
        <v/>
      </c>
      <c r="D18" s="11" t="n">
        <v>12</v>
      </c>
      <c r="E18" s="12">
        <f>$D18*Assumptions!$B$5</f>
        <v/>
      </c>
      <c r="F18" s="13">
        <f>IFERROR($B18/$E18,0)</f>
        <v/>
      </c>
      <c r="G18" s="11" t="inlineStr">
        <is>
          <t>2 on 22 Apr</t>
        </is>
      </c>
    </row>
    <row r="19">
      <c r="A19" s="10" t="inlineStr">
        <is>
          <t>Ramseshu Ghanta</t>
        </is>
      </c>
      <c r="B19" s="12">
        <f>SUMIFS(Detail!$G$4:$G$110,Detail!$A$4:$A$110,$A$2,Detail!$B$4:$B$110,$A19)</f>
        <v/>
      </c>
      <c r="C19" s="12">
        <f>IFERROR($B19/Assumptions!$B$5,0)</f>
        <v/>
      </c>
      <c r="D19" s="11" t="n">
        <v>12</v>
      </c>
      <c r="E19" s="12">
        <f>$D19*Assumptions!$B$5</f>
        <v/>
      </c>
      <c r="F19" s="13">
        <f>IFERROR($B19/$E19,0)</f>
        <v/>
      </c>
      <c r="G19" s="11" t="inlineStr">
        <is>
          <t>3 on 04 Apr</t>
        </is>
      </c>
    </row>
    <row r="20">
      <c r="A20" s="10" t="inlineStr">
        <is>
          <t>Mark Moorcroft</t>
        </is>
      </c>
      <c r="B20" s="12">
        <f>SUMIFS(Detail!$G$4:$G$110,Detail!$A$4:$A$110,$A$2,Detail!$B$4:$B$110,$A20)</f>
        <v/>
      </c>
      <c r="C20" s="12">
        <f>IFERROR($B20/Assumptions!$B$5,0)</f>
        <v/>
      </c>
      <c r="D20" s="11" t="n">
        <v>16</v>
      </c>
      <c r="E20" s="12">
        <f>$D20*Assumptions!$B$5</f>
        <v/>
      </c>
      <c r="F20" s="13">
        <f>IFERROR($B20/$E20,0)</f>
        <v/>
      </c>
      <c r="G20" s="11" t="inlineStr">
        <is>
          <t>2 on 29 Apr</t>
        </is>
      </c>
    </row>
    <row r="21">
      <c r="A21" s="3" t="inlineStr">
        <is>
          <t>TOTAL</t>
        </is>
      </c>
      <c r="B21" s="16">
        <f>SUM(B17:B20)</f>
        <v/>
      </c>
      <c r="C21" s="16">
        <f>SUM(C17:C20)</f>
        <v/>
      </c>
      <c r="D21" s="16">
        <f>SUM(D17:D20)</f>
        <v/>
      </c>
      <c r="E21" s="16">
        <f>SUM(E17:E20)</f>
        <v/>
      </c>
      <c r="F21" s="17">
        <f>IFERROR($B21/$E21,0)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Vitor Fernandes</t>
        </is>
      </c>
      <c r="C4" s="10" t="inlineStr">
        <is>
          <t>PT-22</t>
        </is>
      </c>
      <c r="D4" s="10" t="inlineStr">
        <is>
          <t>PT-22 VOP Single Check</t>
        </is>
      </c>
      <c r="E4" s="10" t="inlineStr">
        <is>
          <t>PT-145</t>
        </is>
      </c>
      <c r="F4" s="10" t="inlineStr">
        <is>
          <t>Add additional identifiers</t>
        </is>
      </c>
      <c r="G4" s="22" t="n">
        <v>26</v>
      </c>
    </row>
    <row r="5">
      <c r="A5" s="10" t="inlineStr">
        <is>
          <t>Pastel de Portal Team</t>
        </is>
      </c>
      <c r="B5" s="10" t="inlineStr">
        <is>
          <t>Vitor Fernandes</t>
        </is>
      </c>
      <c r="C5" s="10" t="inlineStr">
        <is>
          <t>PT-54</t>
        </is>
      </c>
      <c r="D5" s="10" t="inlineStr">
        <is>
          <t>PT-54 VOP File Check</t>
        </is>
      </c>
      <c r="E5" s="10" t="inlineStr">
        <is>
          <t>PT-165</t>
        </is>
      </c>
      <c r="F5" s="10" t="inlineStr">
        <is>
          <t>Upload File - BFF - API Integration</t>
        </is>
      </c>
      <c r="G5" s="22" t="n">
        <v>26.6667</v>
      </c>
    </row>
    <row r="6">
      <c r="A6" s="10" t="inlineStr">
        <is>
          <t>Pastel de Portal Team</t>
        </is>
      </c>
      <c r="B6" s="10" t="inlineStr">
        <is>
          <t>Vitor Fernandes</t>
        </is>
      </c>
      <c r="C6" s="10" t="inlineStr">
        <is>
          <t>PT-54</t>
        </is>
      </c>
      <c r="D6" s="10" t="inlineStr">
        <is>
          <t>PT-54 VOP File Check</t>
        </is>
      </c>
      <c r="E6" s="10" t="inlineStr">
        <is>
          <t>PT-163</t>
        </is>
      </c>
      <c r="F6" s="10" t="inlineStr">
        <is>
          <t>Get Tasks BFF - API Integration</t>
        </is>
      </c>
      <c r="G6" s="22" t="n">
        <v>8.666700000000001</v>
      </c>
    </row>
    <row r="7">
      <c r="A7" s="10" t="inlineStr">
        <is>
          <t>Pastel de Portal Team</t>
        </is>
      </c>
      <c r="B7" s="10" t="inlineStr">
        <is>
          <t>Rafael Santos</t>
        </is>
      </c>
      <c r="C7" s="10" t="inlineStr">
        <is>
          <t>PT-54</t>
        </is>
      </c>
      <c r="D7" s="10" t="inlineStr">
        <is>
          <t>PT-54 VOP File Check</t>
        </is>
      </c>
      <c r="E7" s="10" t="inlineStr">
        <is>
          <t>PT-162</t>
        </is>
      </c>
      <c r="F7" s="10" t="inlineStr">
        <is>
          <t>File upload List Screen - FE</t>
        </is>
      </c>
      <c r="G7" s="22" t="n">
        <v>36</v>
      </c>
    </row>
    <row r="8">
      <c r="A8" s="10" t="inlineStr">
        <is>
          <t>Pastel de Portal Team</t>
        </is>
      </c>
      <c r="B8" s="10" t="inlineStr">
        <is>
          <t>Rafael Santos</t>
        </is>
      </c>
      <c r="C8" s="10" t="inlineStr">
        <is>
          <t>PT-54</t>
        </is>
      </c>
      <c r="D8" s="10" t="inlineStr">
        <is>
          <t>PT-54 VOP File Check</t>
        </is>
      </c>
      <c r="E8" s="10" t="inlineStr">
        <is>
          <t>PT-164</t>
        </is>
      </c>
      <c r="F8" s="10" t="inlineStr">
        <is>
          <t>Upload File Screen - FE</t>
        </is>
      </c>
      <c r="G8" s="22" t="n">
        <v>12</v>
      </c>
    </row>
    <row r="9">
      <c r="A9" s="10" t="inlineStr">
        <is>
          <t>Pastel de Portal Team</t>
        </is>
      </c>
      <c r="B9" s="10" t="inlineStr">
        <is>
          <t>Rafael Santos</t>
        </is>
      </c>
      <c r="C9" s="10" t="inlineStr">
        <is>
          <t>PT-54</t>
        </is>
      </c>
      <c r="D9" s="10" t="inlineStr">
        <is>
          <t>PT-54 VOP File Check</t>
        </is>
      </c>
      <c r="E9" s="10" t="inlineStr">
        <is>
          <t>PT-167</t>
        </is>
      </c>
      <c r="F9" s="10" t="inlineStr">
        <is>
          <t>Download File - FE</t>
        </is>
      </c>
      <c r="G9" s="22" t="n">
        <v>8</v>
      </c>
    </row>
    <row r="10">
      <c r="A10" s="10" t="inlineStr">
        <is>
          <t>Pastel de Portal Team</t>
        </is>
      </c>
      <c r="B10" s="10" t="inlineStr">
        <is>
          <t>Joost Vos</t>
        </is>
      </c>
      <c r="C10" s="10" t="inlineStr">
        <is>
          <t>PT-22</t>
        </is>
      </c>
      <c r="D10" s="10" t="inlineStr">
        <is>
          <t>PT-22 VOP Single Check</t>
        </is>
      </c>
      <c r="E10" s="10" t="inlineStr">
        <is>
          <t>PT-23</t>
        </is>
      </c>
      <c r="F10" s="10" t="inlineStr">
        <is>
          <t>Redesign VOP Messages</t>
        </is>
      </c>
      <c r="G10" s="22" t="n">
        <v>33.3333</v>
      </c>
    </row>
    <row r="11">
      <c r="A11" s="10" t="inlineStr">
        <is>
          <t>Pastel de Portal Team</t>
        </is>
      </c>
      <c r="B11" s="10" t="inlineStr">
        <is>
          <t>gustavo.palminha</t>
        </is>
      </c>
      <c r="C11" s="10" t="inlineStr">
        <is>
          <t>PT-54</t>
        </is>
      </c>
      <c r="D11" s="10" t="inlineStr">
        <is>
          <t>PT-54 VOP File Check</t>
        </is>
      </c>
      <c r="E11" s="10" t="inlineStr">
        <is>
          <t>PT-166</t>
        </is>
      </c>
      <c r="F11" s="10" t="inlineStr">
        <is>
          <t>Download File - BFF - API Integration</t>
        </is>
      </c>
      <c r="G11" s="22" t="n">
        <v>8</v>
      </c>
    </row>
    <row r="12">
      <c r="A12" s="10" t="inlineStr">
        <is>
          <t>Pastel de Portal Team</t>
        </is>
      </c>
      <c r="B12" s="10" t="inlineStr">
        <is>
          <t>gustavo.palminha</t>
        </is>
      </c>
      <c r="C12" s="10" t="inlineStr">
        <is>
          <t>PT-54</t>
        </is>
      </c>
      <c r="D12" s="10" t="inlineStr">
        <is>
          <t>PT-54 VOP File Check</t>
        </is>
      </c>
      <c r="E12" s="10" t="inlineStr">
        <is>
          <t>PT-164</t>
        </is>
      </c>
      <c r="F12" s="10" t="inlineStr">
        <is>
          <t>Upload File Screen - FE</t>
        </is>
      </c>
      <c r="G12" s="22" t="n">
        <v>2</v>
      </c>
    </row>
    <row r="13">
      <c r="A13" s="10" t="inlineStr">
        <is>
          <t>Pastel de Portal Team</t>
        </is>
      </c>
      <c r="B13" s="10" t="inlineStr">
        <is>
          <t>alan.silva</t>
        </is>
      </c>
      <c r="C13" s="10" t="inlineStr">
        <is>
          <t>PT-22</t>
        </is>
      </c>
      <c r="D13" s="10" t="inlineStr">
        <is>
          <t>PT-22 VOP Single Check</t>
        </is>
      </c>
      <c r="E13" s="10" t="inlineStr">
        <is>
          <t>PT-145</t>
        </is>
      </c>
      <c r="F13" s="10" t="inlineStr">
        <is>
          <t>Add additional identifiers</t>
        </is>
      </c>
      <c r="G13" s="22" t="n">
        <v>2.4762</v>
      </c>
    </row>
    <row r="14">
      <c r="A14" s="10" t="inlineStr">
        <is>
          <t>Team Horizon</t>
        </is>
      </c>
      <c r="B14" s="10" t="inlineStr">
        <is>
          <t>Prabhukiran Narava</t>
        </is>
      </c>
      <c r="C14" s="10" t="inlineStr">
        <is>
          <t>SUK-5337</t>
        </is>
      </c>
      <c r="D14" s="10" t="inlineStr">
        <is>
          <t xml:space="preserve">SUK-5337 VOP EDS Integration Implementation </t>
        </is>
      </c>
      <c r="E14" s="10" t="inlineStr">
        <is>
          <t>SUK-5342</t>
        </is>
      </c>
      <c r="F14" s="10" t="inlineStr">
        <is>
          <t>VOP EDS Integration Design &amp; Discovery - Refi</t>
        </is>
      </c>
      <c r="G14" s="22" t="n">
        <v>30.6667</v>
      </c>
    </row>
    <row r="15">
      <c r="A15" s="10" t="inlineStr">
        <is>
          <t>Team Horizon</t>
        </is>
      </c>
      <c r="B15" s="10" t="inlineStr">
        <is>
          <t>Prabhukiran Narava</t>
        </is>
      </c>
      <c r="C15" s="10" t="inlineStr">
        <is>
          <t>SUK-5337</t>
        </is>
      </c>
      <c r="D15" s="10" t="inlineStr">
        <is>
          <t xml:space="preserve">SUK-5337 VOP EDS Integration Implementation </t>
        </is>
      </c>
      <c r="E15" s="10" t="inlineStr">
        <is>
          <t>SUK-5338</t>
        </is>
      </c>
      <c r="F15" s="10" t="inlineStr">
        <is>
          <t>Lambda Integration with EDS for VOP Responder</t>
        </is>
      </c>
      <c r="G15" s="22" t="n">
        <v>2.6667</v>
      </c>
    </row>
    <row r="16">
      <c r="A16" s="10" t="inlineStr">
        <is>
          <t>Team Horizon</t>
        </is>
      </c>
      <c r="B16" s="10" t="inlineStr">
        <is>
          <t>Prabhukiran Narava</t>
        </is>
      </c>
      <c r="C16" s="10" t="inlineStr">
        <is>
          <t>SUK-5337</t>
        </is>
      </c>
      <c r="D16" s="10" t="inlineStr">
        <is>
          <t xml:space="preserve">SUK-5337 VOP EDS Integration Implementation </t>
        </is>
      </c>
      <c r="E16" s="10" t="inlineStr">
        <is>
          <t>SUK-5340</t>
        </is>
      </c>
      <c r="F16" s="10" t="inlineStr">
        <is>
          <t>E2E Test Prep for EDS Integration - Requester</t>
        </is>
      </c>
      <c r="G16" s="22" t="n">
        <v>2.6667</v>
      </c>
    </row>
    <row r="17">
      <c r="A17" s="10" t="inlineStr">
        <is>
          <t>Team Horizon</t>
        </is>
      </c>
      <c r="B17" s="10" t="inlineStr">
        <is>
          <t>Ryan Shepherd</t>
        </is>
      </c>
      <c r="C17" s="10" t="inlineStr">
        <is>
          <t>SUK-5337</t>
        </is>
      </c>
      <c r="D17" s="10" t="inlineStr">
        <is>
          <t xml:space="preserve">SUK-5337 VOP EDS Integration Implementation </t>
        </is>
      </c>
      <c r="E17" s="10" t="inlineStr">
        <is>
          <t>SUK-5339</t>
        </is>
      </c>
      <c r="F17" s="10" t="inlineStr">
        <is>
          <t>Lambda Integration with EDS for VOP Requester</t>
        </is>
      </c>
      <c r="G17" s="22" t="n">
        <v>30.6667</v>
      </c>
    </row>
    <row r="18">
      <c r="A18" s="10" t="inlineStr">
        <is>
          <t>Team Horizon</t>
        </is>
      </c>
      <c r="B18" s="10" t="inlineStr">
        <is>
          <t>Ryan Shepherd</t>
        </is>
      </c>
      <c r="C18" s="10" t="inlineStr">
        <is>
          <t>SUK-5337</t>
        </is>
      </c>
      <c r="D18" s="10" t="inlineStr">
        <is>
          <t xml:space="preserve">SUK-5337 VOP EDS Integration Implementation </t>
        </is>
      </c>
      <c r="E18" s="10" t="inlineStr">
        <is>
          <t>SUK-5338</t>
        </is>
      </c>
      <c r="F18" s="10" t="inlineStr">
        <is>
          <t>Lambda Integration with EDS for VOP Responder</t>
        </is>
      </c>
      <c r="G18" s="22" t="n">
        <v>5.3333</v>
      </c>
    </row>
    <row r="19">
      <c r="A19" s="10" t="inlineStr">
        <is>
          <t>Team Horizon</t>
        </is>
      </c>
      <c r="B19" s="10" t="inlineStr">
        <is>
          <t>Sanjay Chaudhary</t>
        </is>
      </c>
      <c r="C19" s="10" t="inlineStr">
        <is>
          <t>SUK-5337</t>
        </is>
      </c>
      <c r="D19" s="10" t="inlineStr">
        <is>
          <t xml:space="preserve">SUK-5337 VOP EDS Integration Implementation </t>
        </is>
      </c>
      <c r="E19" s="10" t="inlineStr">
        <is>
          <t>SUK-5366</t>
        </is>
      </c>
      <c r="F19" s="10" t="inlineStr">
        <is>
          <t xml:space="preserve">Setup Jenkins pipeline + basic infra for EDS </t>
        </is>
      </c>
      <c r="G19" s="22" t="n">
        <v>8.9429</v>
      </c>
    </row>
    <row r="20">
      <c r="A20" s="10" t="inlineStr">
        <is>
          <t>Team Horizon</t>
        </is>
      </c>
      <c r="B20" s="10" t="inlineStr">
        <is>
          <t>Julian Mulder</t>
        </is>
      </c>
      <c r="C20" s="10" t="inlineStr">
        <is>
          <t>SUK-5337</t>
        </is>
      </c>
      <c r="D20" s="10" t="inlineStr">
        <is>
          <t xml:space="preserve">SUK-5337 VOP EDS Integration Implementation </t>
        </is>
      </c>
      <c r="E20" s="10" t="inlineStr">
        <is>
          <t>SUK-5350</t>
        </is>
      </c>
      <c r="F20" s="10" t="inlineStr">
        <is>
          <t>[VOP-EU] Arrange Repo + AWS acct access for a</t>
        </is>
      </c>
      <c r="G20" s="22" t="n">
        <v>8</v>
      </c>
    </row>
    <row r="21">
      <c r="A21" s="10" t="inlineStr">
        <is>
          <t>Team Ikigai</t>
        </is>
      </c>
      <c r="B21" s="10" t="inlineStr">
        <is>
          <t>Diego Silva</t>
        </is>
      </c>
      <c r="C21" s="10" t="inlineStr">
        <is>
          <t>SPD-2716</t>
        </is>
      </c>
      <c r="D21" s="10" t="inlineStr">
        <is>
          <t>SPD-2716 VoP Data Hosting Interation 1</t>
        </is>
      </c>
      <c r="E21" s="10" t="inlineStr">
        <is>
          <t>SPD-2963</t>
        </is>
      </c>
      <c r="F21" s="10" t="inlineStr">
        <is>
          <t>Enable S3 malware scans for Data Hosting</t>
        </is>
      </c>
      <c r="G21" s="22" t="n">
        <v>32</v>
      </c>
    </row>
    <row r="22">
      <c r="A22" s="10" t="inlineStr">
        <is>
          <t>Team Ikigai</t>
        </is>
      </c>
      <c r="B22" s="10" t="inlineStr">
        <is>
          <t>Diego Silva</t>
        </is>
      </c>
      <c r="C22" s="10" t="inlineStr">
        <is>
          <t>SPD-2716</t>
        </is>
      </c>
      <c r="D22" s="10" t="inlineStr">
        <is>
          <t>SPD-2716 VoP Data Hosting Interation 1</t>
        </is>
      </c>
      <c r="E22" s="10" t="inlineStr">
        <is>
          <t>SPD-2917</t>
        </is>
      </c>
      <c r="F22" s="10" t="inlineStr">
        <is>
          <t>Security Patch for vop-datahosting</t>
        </is>
      </c>
      <c r="G22" s="22" t="n">
        <v>21.3333</v>
      </c>
    </row>
    <row r="23">
      <c r="A23" s="10" t="inlineStr">
        <is>
          <t>Team Ikigai</t>
        </is>
      </c>
      <c r="B23" s="10" t="inlineStr">
        <is>
          <t>Diego Silva</t>
        </is>
      </c>
      <c r="C23" s="10" t="inlineStr">
        <is>
          <t>SPD-2716</t>
        </is>
      </c>
      <c r="D23" s="10" t="inlineStr">
        <is>
          <t>SPD-2716 VoP Data Hosting Interation 1</t>
        </is>
      </c>
      <c r="E23" s="10" t="inlineStr">
        <is>
          <t>SPD-2937</t>
        </is>
      </c>
      <c r="F23" s="10" t="inlineStr">
        <is>
          <t>create lambda library</t>
        </is>
      </c>
      <c r="G23" s="22" t="n">
        <v>10.6667</v>
      </c>
    </row>
    <row r="24">
      <c r="A24" s="10" t="inlineStr">
        <is>
          <t>Team Ikigai</t>
        </is>
      </c>
      <c r="B24" s="10" t="inlineStr">
        <is>
          <t>Diego Silva</t>
        </is>
      </c>
      <c r="C24" s="10" t="inlineStr">
        <is>
          <t>SPD-2716</t>
        </is>
      </c>
      <c r="D24" s="10" t="inlineStr">
        <is>
          <t>SPD-2716 VoP Data Hosting Interation 1</t>
        </is>
      </c>
      <c r="E24" s="10" t="inlineStr">
        <is>
          <t>SPD-2940</t>
        </is>
      </c>
      <c r="F24" s="10" t="inlineStr">
        <is>
          <t>Create Event Library</t>
        </is>
      </c>
      <c r="G24" s="22" t="n">
        <v>7.3333</v>
      </c>
    </row>
    <row r="25">
      <c r="A25" s="10" t="inlineStr">
        <is>
          <t>Team Ikigai</t>
        </is>
      </c>
      <c r="B25" s="10" t="inlineStr">
        <is>
          <t>Diego Silva</t>
        </is>
      </c>
      <c r="C25" s="10" t="inlineStr">
        <is>
          <t>SPD-2716</t>
        </is>
      </c>
      <c r="D25" s="10" t="inlineStr">
        <is>
          <t>SPD-2716 VoP Data Hosting Interation 1</t>
        </is>
      </c>
      <c r="E25" s="10" t="inlineStr">
        <is>
          <t>SPD-2942</t>
        </is>
      </c>
      <c r="F25" s="10" t="inlineStr">
        <is>
          <t>create secret library</t>
        </is>
      </c>
      <c r="G25" s="22" t="n">
        <v>7.3333</v>
      </c>
    </row>
    <row r="26">
      <c r="A26" s="10" t="inlineStr">
        <is>
          <t>Team Ikigai</t>
        </is>
      </c>
      <c r="B26" s="10" t="inlineStr">
        <is>
          <t>Diego Silva</t>
        </is>
      </c>
      <c r="C26" s="10" t="inlineStr">
        <is>
          <t>SPD-2716</t>
        </is>
      </c>
      <c r="D26" s="10" t="inlineStr">
        <is>
          <t>SPD-2716 VoP Data Hosting Interation 1</t>
        </is>
      </c>
      <c r="E26" s="10" t="inlineStr">
        <is>
          <t>SPD-2941</t>
        </is>
      </c>
      <c r="F26" s="10" t="inlineStr">
        <is>
          <t>Create KMS library</t>
        </is>
      </c>
      <c r="G26" s="22" t="n">
        <v>5.3333</v>
      </c>
    </row>
    <row r="27">
      <c r="A27" s="10" t="inlineStr">
        <is>
          <t>Team Ikigai</t>
        </is>
      </c>
      <c r="B27" s="10" t="inlineStr">
        <is>
          <t>Diego Silva</t>
        </is>
      </c>
      <c r="C27" s="10" t="inlineStr">
        <is>
          <t>SPD-2716</t>
        </is>
      </c>
      <c r="D27" s="10" t="inlineStr">
        <is>
          <t>SPD-2716 VoP Data Hosting Interation 1</t>
        </is>
      </c>
      <c r="E27" s="10" t="inlineStr">
        <is>
          <t>SPD-2943</t>
        </is>
      </c>
      <c r="F27" s="10" t="inlineStr">
        <is>
          <t>create data delivery stack</t>
        </is>
      </c>
      <c r="G27" s="22" t="n">
        <v>2.6667</v>
      </c>
    </row>
    <row r="28">
      <c r="A28" s="10" t="inlineStr">
        <is>
          <t>Team Ikigai</t>
        </is>
      </c>
      <c r="B28" s="10" t="inlineStr">
        <is>
          <t>Diego Silva</t>
        </is>
      </c>
      <c r="C28" s="10" t="inlineStr">
        <is>
          <t>SPD-2716</t>
        </is>
      </c>
      <c r="D28" s="10" t="inlineStr">
        <is>
          <t>SPD-2716 VoP Data Hosting Interation 1</t>
        </is>
      </c>
      <c r="E28" s="10" t="inlineStr">
        <is>
          <t>SPD-2947</t>
        </is>
      </c>
      <c r="F28" s="10" t="inlineStr">
        <is>
          <t>create app stack (ingester and api stacks)</t>
        </is>
      </c>
      <c r="G28" s="22" t="n">
        <v>2.6667</v>
      </c>
    </row>
    <row r="29">
      <c r="A29" s="10" t="inlineStr">
        <is>
          <t>Team Ikigai</t>
        </is>
      </c>
      <c r="B29" s="10" t="inlineStr">
        <is>
          <t>Diego Silva</t>
        </is>
      </c>
      <c r="C29" s="10" t="inlineStr">
        <is>
          <t>SPD-2716</t>
        </is>
      </c>
      <c r="D29" s="10" t="inlineStr">
        <is>
          <t>SPD-2716 VoP Data Hosting Interation 1</t>
        </is>
      </c>
      <c r="E29" s="10" t="inlineStr">
        <is>
          <t>SPD-2969</t>
        </is>
      </c>
      <c r="F29" s="10" t="inlineStr">
        <is>
          <t xml:space="preserve">create alb that exposes api-app </t>
        </is>
      </c>
      <c r="G29" s="22" t="n">
        <v>2.6667</v>
      </c>
    </row>
    <row r="30">
      <c r="A30" s="10" t="inlineStr">
        <is>
          <t>Team Ikigai</t>
        </is>
      </c>
      <c r="B30" s="10" t="inlineStr">
        <is>
          <t>Diego Silva</t>
        </is>
      </c>
      <c r="C30" s="10" t="inlineStr">
        <is>
          <t>SPD-2749</t>
        </is>
      </c>
      <c r="D30" s="10" t="inlineStr">
        <is>
          <t>SPD-2749 VoP Data Hosting Ingester v1</t>
        </is>
      </c>
      <c r="E30" s="10" t="inlineStr">
        <is>
          <t>SPD-2828</t>
        </is>
      </c>
      <c r="F30" s="10" t="inlineStr">
        <is>
          <t xml:space="preserve">ECS Cluster Documentation </t>
        </is>
      </c>
      <c r="G30" s="22" t="n">
        <v>88.66670000000001</v>
      </c>
    </row>
    <row r="31">
      <c r="A31" s="10" t="inlineStr">
        <is>
          <t>Team Ikigai</t>
        </is>
      </c>
      <c r="B31" s="10" t="inlineStr">
        <is>
          <t>Elisabeth Gie</t>
        </is>
      </c>
      <c r="C31" s="10" t="inlineStr">
        <is>
          <t>SPD-2749</t>
        </is>
      </c>
      <c r="D31" s="10" t="inlineStr">
        <is>
          <t>SPD-2749 VoP Data Hosting Ingester v1</t>
        </is>
      </c>
      <c r="E31" s="10" t="inlineStr">
        <is>
          <t>SPD-2847</t>
        </is>
      </c>
      <c r="F31" s="10" t="inlineStr">
        <is>
          <t>Change in specs for invalid accounts</t>
        </is>
      </c>
      <c r="G31" s="22" t="n">
        <v>176</v>
      </c>
    </row>
    <row r="32">
      <c r="A32" s="10" t="inlineStr">
        <is>
          <t>Team Ikigai</t>
        </is>
      </c>
      <c r="B32" s="10" t="inlineStr">
        <is>
          <t>Sridhar Gnanasekaran</t>
        </is>
      </c>
      <c r="C32" s="10" t="inlineStr">
        <is>
          <t>SPD-2716</t>
        </is>
      </c>
      <c r="D32" s="10" t="inlineStr">
        <is>
          <t>SPD-2716 VoP Data Hosting Interation 1</t>
        </is>
      </c>
      <c r="E32" s="10" t="inlineStr">
        <is>
          <t>SPD-2881</t>
        </is>
      </c>
      <c r="F32" s="10" t="inlineStr">
        <is>
          <t>Ingesting a large (20M records) file does not</t>
        </is>
      </c>
      <c r="G32" s="22" t="n">
        <v>133.3333</v>
      </c>
    </row>
    <row r="33">
      <c r="A33" s="10" t="inlineStr">
        <is>
          <t>Team Ikigai</t>
        </is>
      </c>
      <c r="B33" s="10" t="inlineStr">
        <is>
          <t>Sridhar Gnanasekaran</t>
        </is>
      </c>
      <c r="C33" s="10" t="inlineStr">
        <is>
          <t>SPD-2724</t>
        </is>
      </c>
      <c r="D33" s="10" t="inlineStr">
        <is>
          <t>SPD-2724 VoP Bulk Checker Iteration 1</t>
        </is>
      </c>
      <c r="E33" s="10" t="inlineStr">
        <is>
          <t>SPD-2974</t>
        </is>
      </c>
      <c r="F33" s="10" t="inlineStr">
        <is>
          <t>Create VOP Bulk API</t>
        </is>
      </c>
      <c r="G33" s="22" t="n">
        <v>37.3333</v>
      </c>
    </row>
    <row r="34">
      <c r="A34" s="10" t="inlineStr">
        <is>
          <t>Team Ikigai</t>
        </is>
      </c>
      <c r="B34" s="10" t="inlineStr">
        <is>
          <t>Sridhar Gnanasekaran</t>
        </is>
      </c>
      <c r="C34" s="10" t="inlineStr">
        <is>
          <t>SPD-2724</t>
        </is>
      </c>
      <c r="D34" s="10" t="inlineStr">
        <is>
          <t>SPD-2724 VoP Bulk Checker Iteration 1</t>
        </is>
      </c>
      <c r="E34" s="10" t="inlineStr">
        <is>
          <t>SPD-2971</t>
        </is>
      </c>
      <c r="F34" s="10" t="inlineStr">
        <is>
          <t>Move Bulk Checker to ACC</t>
        </is>
      </c>
      <c r="G34" s="22" t="n">
        <v>5.3333</v>
      </c>
    </row>
    <row r="35">
      <c r="A35" s="10" t="inlineStr">
        <is>
          <t>Team Ikigai</t>
        </is>
      </c>
      <c r="B35" s="10" t="inlineStr">
        <is>
          <t>Gerard Veldman</t>
        </is>
      </c>
      <c r="C35" s="10" t="inlineStr">
        <is>
          <t>SPD-2724</t>
        </is>
      </c>
      <c r="D35" s="10" t="inlineStr">
        <is>
          <t>SPD-2724 VoP Bulk Checker Iteration 1</t>
        </is>
      </c>
      <c r="E35" s="10" t="inlineStr">
        <is>
          <t>SPD-2975</t>
        </is>
      </c>
      <c r="F35" s="10" t="inlineStr">
        <is>
          <t>rate limiting by country/bank code using iban</t>
        </is>
      </c>
      <c r="G35" s="22" t="n">
        <v>66.9333</v>
      </c>
    </row>
    <row r="36">
      <c r="A36" s="10" t="inlineStr">
        <is>
          <t>Team Ikigai</t>
        </is>
      </c>
      <c r="B36" s="10" t="inlineStr">
        <is>
          <t>Gerard Veldman</t>
        </is>
      </c>
      <c r="C36" s="10" t="inlineStr">
        <is>
          <t>SPD-2724</t>
        </is>
      </c>
      <c r="D36" s="10" t="inlineStr">
        <is>
          <t>SPD-2724 VoP Bulk Checker Iteration 1</t>
        </is>
      </c>
      <c r="E36" s="10" t="inlineStr">
        <is>
          <t>SPD-2952</t>
        </is>
      </c>
      <c r="F36" s="10" t="inlineStr">
        <is>
          <t>Download file from S3</t>
        </is>
      </c>
      <c r="G36" s="22" t="n">
        <v>40</v>
      </c>
    </row>
    <row r="37">
      <c r="A37" s="10" t="inlineStr">
        <is>
          <t>Team Ikigai</t>
        </is>
      </c>
      <c r="B37" s="10" t="inlineStr">
        <is>
          <t>Gerard Veldman</t>
        </is>
      </c>
      <c r="C37" s="10" t="inlineStr">
        <is>
          <t>SPD-2724</t>
        </is>
      </c>
      <c r="D37" s="10" t="inlineStr">
        <is>
          <t>SPD-2724 VoP Bulk Checker Iteration 1</t>
        </is>
      </c>
      <c r="E37" s="10" t="inlineStr">
        <is>
          <t>SPD-2980</t>
        </is>
      </c>
      <c r="F37" s="10" t="inlineStr">
        <is>
          <t>Implement CSV preprocessor</t>
        </is>
      </c>
      <c r="G37" s="22" t="n">
        <v>20.2667</v>
      </c>
    </row>
    <row r="38">
      <c r="A38" s="10" t="inlineStr">
        <is>
          <t>Team Ikigai</t>
        </is>
      </c>
      <c r="B38" s="10" t="inlineStr">
        <is>
          <t>Gerard Veldman</t>
        </is>
      </c>
      <c r="C38" s="10" t="inlineStr">
        <is>
          <t>SPD-2724</t>
        </is>
      </c>
      <c r="D38" s="10" t="inlineStr">
        <is>
          <t>SPD-2724 VoP Bulk Checker Iteration 1</t>
        </is>
      </c>
      <c r="E38" s="10" t="inlineStr">
        <is>
          <t>SPD-2996</t>
        </is>
      </c>
      <c r="F38" s="10" t="inlineStr">
        <is>
          <t>Support for CSV format</t>
        </is>
      </c>
      <c r="G38" s="22" t="n">
        <v>20.2667</v>
      </c>
    </row>
    <row r="39">
      <c r="A39" s="10" t="inlineStr">
        <is>
          <t>Team Ikigai</t>
        </is>
      </c>
      <c r="B39" s="10" t="inlineStr">
        <is>
          <t>Gerard Veldman</t>
        </is>
      </c>
      <c r="C39" s="10" t="inlineStr">
        <is>
          <t>SPD-2724</t>
        </is>
      </c>
      <c r="D39" s="10" t="inlineStr">
        <is>
          <t>SPD-2724 VoP Bulk Checker Iteration 1</t>
        </is>
      </c>
      <c r="E39" s="10" t="inlineStr">
        <is>
          <t>SPD-2990</t>
        </is>
      </c>
      <c r="F39" s="10" t="inlineStr">
        <is>
          <t>Pass headers to vop gateway during bulk check</t>
        </is>
      </c>
      <c r="G39" s="22" t="n">
        <v>12.2667</v>
      </c>
    </row>
    <row r="40">
      <c r="A40" s="10" t="inlineStr">
        <is>
          <t>Team Ikigai</t>
        </is>
      </c>
      <c r="B40" s="10" t="inlineStr">
        <is>
          <t>Gerard Veldman</t>
        </is>
      </c>
      <c r="C40" s="10" t="inlineStr">
        <is>
          <t>SPD-2724</t>
        </is>
      </c>
      <c r="D40" s="10" t="inlineStr">
        <is>
          <t>SPD-2724 VoP Bulk Checker Iteration 1</t>
        </is>
      </c>
      <c r="E40" s="10" t="inlineStr">
        <is>
          <t>SPD-2934</t>
        </is>
      </c>
      <c r="F40" s="10" t="inlineStr">
        <is>
          <t>Setup project structure and repository</t>
        </is>
      </c>
      <c r="G40" s="22" t="n">
        <v>4</v>
      </c>
    </row>
    <row r="41">
      <c r="A41" s="10" t="inlineStr">
        <is>
          <t>Team Ikigai</t>
        </is>
      </c>
      <c r="B41" s="10" t="inlineStr">
        <is>
          <t>Gerard Veldman</t>
        </is>
      </c>
      <c r="C41" s="10" t="inlineStr">
        <is>
          <t>SPD-2749</t>
        </is>
      </c>
      <c r="D41" s="10" t="inlineStr">
        <is>
          <t>SPD-2749 VoP Data Hosting Ingester v1</t>
        </is>
      </c>
      <c r="E41" s="10" t="inlineStr">
        <is>
          <t>SPD-2908</t>
        </is>
      </c>
      <c r="F41" s="10" t="inlineStr">
        <is>
          <t>Resilience / Catch exceptions at top level an</t>
        </is>
      </c>
      <c r="G41" s="22" t="n">
        <v>4</v>
      </c>
    </row>
    <row r="42">
      <c r="A42" s="10" t="inlineStr">
        <is>
          <t>Team Ikigai</t>
        </is>
      </c>
      <c r="B42" s="10" t="inlineStr">
        <is>
          <t>Juanma Tastzian</t>
        </is>
      </c>
      <c r="C42" s="10" t="inlineStr">
        <is>
          <t>SPD-2716</t>
        </is>
      </c>
      <c r="D42" s="10" t="inlineStr">
        <is>
          <t>SPD-2716 VoP Data Hosting Interation 1</t>
        </is>
      </c>
      <c r="E42" s="10" t="inlineStr">
        <is>
          <t>SPD-2966</t>
        </is>
      </c>
      <c r="F42" s="10" t="inlineStr">
        <is>
          <t>Implement audit logging for VoP Data Hosting</t>
        </is>
      </c>
      <c r="G42" s="22" t="n">
        <v>86.66670000000001</v>
      </c>
    </row>
    <row r="43">
      <c r="A43" s="10" t="inlineStr">
        <is>
          <t>Team Ikigai</t>
        </is>
      </c>
      <c r="B43" s="10" t="inlineStr">
        <is>
          <t>Juanma Tastzian</t>
        </is>
      </c>
      <c r="C43" s="10" t="inlineStr">
        <is>
          <t>SPD-2716</t>
        </is>
      </c>
      <c r="D43" s="10" t="inlineStr">
        <is>
          <t>SPD-2716 VoP Data Hosting Interation 1</t>
        </is>
      </c>
      <c r="E43" s="10" t="inlineStr">
        <is>
          <t>SPD-2983</t>
        </is>
      </c>
      <c r="F43" s="10" t="inlineStr">
        <is>
          <t>Bank Van Breda/Nagelmackers ACC "File was not</t>
        </is>
      </c>
      <c r="G43" s="22" t="n">
        <v>54.6667</v>
      </c>
    </row>
    <row r="44">
      <c r="A44" s="10" t="inlineStr">
        <is>
          <t>Team Ikigai</t>
        </is>
      </c>
      <c r="B44" s="10" t="inlineStr">
        <is>
          <t>Juanma Tastzian</t>
        </is>
      </c>
      <c r="C44" s="10" t="inlineStr">
        <is>
          <t>SPD-2716</t>
        </is>
      </c>
      <c r="D44" s="10" t="inlineStr">
        <is>
          <t>SPD-2716 VoP Data Hosting Interation 1</t>
        </is>
      </c>
      <c r="E44" s="10" t="inlineStr">
        <is>
          <t>SPD-2932</t>
        </is>
      </c>
      <c r="F44" s="10" t="inlineStr">
        <is>
          <t>Allow underscores in psp name in the file nam</t>
        </is>
      </c>
      <c r="G44" s="22" t="n">
        <v>8</v>
      </c>
    </row>
    <row r="45">
      <c r="A45" s="10" t="inlineStr">
        <is>
          <t>Team Ikigai</t>
        </is>
      </c>
      <c r="B45" s="10" t="inlineStr">
        <is>
          <t>Juanma Tastzian</t>
        </is>
      </c>
      <c r="C45" s="10" t="inlineStr">
        <is>
          <t>SPD-2716</t>
        </is>
      </c>
      <c r="D45" s="10" t="inlineStr">
        <is>
          <t>SPD-2716 VoP Data Hosting Interation 1</t>
        </is>
      </c>
      <c r="E45" s="10" t="inlineStr">
        <is>
          <t>SPD-2981</t>
        </is>
      </c>
      <c r="F45" s="10" t="inlineStr">
        <is>
          <t>Nagelmackers ACC public signing key with extr</t>
        </is>
      </c>
      <c r="G45" s="22" t="n">
        <v>2.6667</v>
      </c>
    </row>
    <row r="46">
      <c r="A46" s="10" t="inlineStr">
        <is>
          <t>Team Ikigai</t>
        </is>
      </c>
      <c r="B46" s="10" t="inlineStr">
        <is>
          <t>Keerthi Shankar</t>
        </is>
      </c>
      <c r="C46" s="10" t="inlineStr">
        <is>
          <t>SPD-2716</t>
        </is>
      </c>
      <c r="D46" s="10" t="inlineStr">
        <is>
          <t>SPD-2716 VoP Data Hosting Interation 1</t>
        </is>
      </c>
      <c r="E46" s="10" t="inlineStr">
        <is>
          <t>SPD-2891</t>
        </is>
      </c>
      <c r="F46" s="10" t="inlineStr">
        <is>
          <t>Add logging to opensearch cluster</t>
        </is>
      </c>
      <c r="G46" s="22" t="n">
        <v>48.6667</v>
      </c>
    </row>
    <row r="47">
      <c r="A47" s="10" t="inlineStr">
        <is>
          <t>Team Ikigai</t>
        </is>
      </c>
      <c r="B47" s="10" t="inlineStr">
        <is>
          <t>Keerthi Shankar</t>
        </is>
      </c>
      <c r="C47" s="10" t="inlineStr">
        <is>
          <t>SPD-2716</t>
        </is>
      </c>
      <c r="D47" s="10" t="inlineStr">
        <is>
          <t>SPD-2716 VoP Data Hosting Interation 1</t>
        </is>
      </c>
      <c r="E47" s="10" t="inlineStr">
        <is>
          <t>SPD-2909</t>
        </is>
      </c>
      <c r="F47" s="10" t="inlineStr">
        <is>
          <t xml:space="preserve">Create an opensearch user for the opensearch </t>
        </is>
      </c>
      <c r="G47" s="22" t="n">
        <v>28</v>
      </c>
    </row>
    <row r="48">
      <c r="A48" s="10" t="inlineStr">
        <is>
          <t>Team Ikigai</t>
        </is>
      </c>
      <c r="B48" s="10" t="inlineStr">
        <is>
          <t>Keerthi Shankar</t>
        </is>
      </c>
      <c r="C48" s="10" t="inlineStr">
        <is>
          <t>SPD-2716</t>
        </is>
      </c>
      <c r="D48" s="10" t="inlineStr">
        <is>
          <t>SPD-2716 VoP Data Hosting Interation 1</t>
        </is>
      </c>
      <c r="E48" s="10" t="inlineStr">
        <is>
          <t>SPD-2945</t>
        </is>
      </c>
      <c r="F48" s="10" t="inlineStr">
        <is>
          <t>create ecscluster stack</t>
        </is>
      </c>
      <c r="G48" s="22" t="n">
        <v>8</v>
      </c>
    </row>
    <row r="49">
      <c r="A49" s="10" t="inlineStr">
        <is>
          <t>Team Ikigai</t>
        </is>
      </c>
      <c r="B49" s="10" t="inlineStr">
        <is>
          <t>Keerthi Shankar</t>
        </is>
      </c>
      <c r="C49" s="10" t="inlineStr">
        <is>
          <t>SPD-2716</t>
        </is>
      </c>
      <c r="D49" s="10" t="inlineStr">
        <is>
          <t>SPD-2716 VoP Data Hosting Interation 1</t>
        </is>
      </c>
      <c r="E49" s="10" t="inlineStr">
        <is>
          <t>SPD-2946</t>
        </is>
      </c>
      <c r="F49" s="10" t="inlineStr">
        <is>
          <t>create landing zone stack</t>
        </is>
      </c>
      <c r="G49" s="22" t="n">
        <v>8</v>
      </c>
    </row>
    <row r="50">
      <c r="A50" s="10" t="inlineStr">
        <is>
          <t>Team Ikigai</t>
        </is>
      </c>
      <c r="B50" s="10" t="inlineStr">
        <is>
          <t>Keerthi Shankar</t>
        </is>
      </c>
      <c r="C50" s="10" t="inlineStr">
        <is>
          <t>SPD-2724</t>
        </is>
      </c>
      <c r="D50" s="10" t="inlineStr">
        <is>
          <t>SPD-2724 VoP Bulk Checker Iteration 1</t>
        </is>
      </c>
      <c r="E50" s="10" t="inlineStr">
        <is>
          <t>SPD-2953</t>
        </is>
      </c>
      <c r="F50" s="10" t="inlineStr">
        <is>
          <t>Create infra to deploy api to ECS(with connec</t>
        </is>
      </c>
      <c r="G50" s="22" t="n">
        <v>20</v>
      </c>
    </row>
    <row r="51">
      <c r="A51" s="10" t="inlineStr">
        <is>
          <t>Team Ikigai</t>
        </is>
      </c>
      <c r="B51" s="10" t="inlineStr">
        <is>
          <t>Keerthi Shankar</t>
        </is>
      </c>
      <c r="C51" s="10" t="inlineStr">
        <is>
          <t>SPD-2724</t>
        </is>
      </c>
      <c r="D51" s="10" t="inlineStr">
        <is>
          <t>SPD-2724 VoP Bulk Checker Iteration 1</t>
        </is>
      </c>
      <c r="E51" s="10" t="inlineStr">
        <is>
          <t>SPD-2984</t>
        </is>
      </c>
      <c r="F51" s="10" t="inlineStr">
        <is>
          <t xml:space="preserve">Infra for preprocessor/converter </t>
        </is>
      </c>
      <c r="G51" s="22" t="n">
        <v>16</v>
      </c>
    </row>
    <row r="52">
      <c r="A52" s="10" t="inlineStr">
        <is>
          <t>Team Ikigai</t>
        </is>
      </c>
      <c r="B52" s="10" t="inlineStr">
        <is>
          <t>Keerthi Shankar</t>
        </is>
      </c>
      <c r="C52" s="10" t="inlineStr">
        <is>
          <t>SPD-2834</t>
        </is>
      </c>
      <c r="D52" s="10" t="inlineStr">
        <is>
          <t>SPD-2834 VoP Data Hosting Iteration 2</t>
        </is>
      </c>
      <c r="E52" s="10" t="inlineStr">
        <is>
          <t>SPD-3007</t>
        </is>
      </c>
      <c r="F52" s="10" t="inlineStr">
        <is>
          <t>Create s3 folder pspidentifier/Accountfiles u</t>
        </is>
      </c>
      <c r="G52" s="22" t="n">
        <v>4.6667</v>
      </c>
    </row>
    <row r="53">
      <c r="A53" s="10" t="inlineStr">
        <is>
          <t>Team Ikigai</t>
        </is>
      </c>
      <c r="B53" s="10" t="inlineStr">
        <is>
          <t>Keerthi Shankar</t>
        </is>
      </c>
      <c r="C53" s="10" t="inlineStr">
        <is>
          <t>SPD-2834</t>
        </is>
      </c>
      <c r="D53" s="10" t="inlineStr">
        <is>
          <t>SPD-2834 VoP Data Hosting Iteration 2</t>
        </is>
      </c>
      <c r="E53" s="10" t="inlineStr">
        <is>
          <t>SPD-3010</t>
        </is>
      </c>
      <c r="F53" s="10" t="inlineStr">
        <is>
          <t>Deploy new vop-datahosting cluster for Irelan</t>
        </is>
      </c>
      <c r="G53" s="22" t="n">
        <v>2</v>
      </c>
    </row>
    <row r="54">
      <c r="A54" s="10" t="inlineStr">
        <is>
          <t>Team Ikigai</t>
        </is>
      </c>
      <c r="B54" s="10" t="inlineStr">
        <is>
          <t>Manali Shah</t>
        </is>
      </c>
      <c r="C54" s="10" t="inlineStr">
        <is>
          <t>SPD-2716</t>
        </is>
      </c>
      <c r="D54" s="10" t="inlineStr">
        <is>
          <t>SPD-2716 VoP Data Hosting Interation 1</t>
        </is>
      </c>
      <c r="E54" s="10" t="inlineStr">
        <is>
          <t>SPD-2871</t>
        </is>
      </c>
      <c r="F54" s="10" t="inlineStr">
        <is>
          <t>Harmonise bankIdentifier everywhere</t>
        </is>
      </c>
      <c r="G54" s="22" t="n">
        <v>36</v>
      </c>
    </row>
    <row r="55">
      <c r="A55" s="10" t="inlineStr">
        <is>
          <t>Team Ikigai</t>
        </is>
      </c>
      <c r="B55" s="10" t="inlineStr">
        <is>
          <t>Manali Shah</t>
        </is>
      </c>
      <c r="C55" s="10" t="inlineStr">
        <is>
          <t>SPD-2716</t>
        </is>
      </c>
      <c r="D55" s="10" t="inlineStr">
        <is>
          <t>SPD-2716 VoP Data Hosting Interation 1</t>
        </is>
      </c>
      <c r="E55" s="10" t="inlineStr">
        <is>
          <t>SPD-2989</t>
        </is>
      </c>
      <c r="F55" s="10" t="inlineStr">
        <is>
          <t>Ensure the data model is in line with the new</t>
        </is>
      </c>
      <c r="G55" s="22" t="n">
        <v>33.3333</v>
      </c>
    </row>
    <row r="56">
      <c r="A56" s="10" t="inlineStr">
        <is>
          <t>Team Ikigai</t>
        </is>
      </c>
      <c r="B56" s="10" t="inlineStr">
        <is>
          <t>Manali Shah</t>
        </is>
      </c>
      <c r="C56" s="10" t="inlineStr">
        <is>
          <t>SPD-2716</t>
        </is>
      </c>
      <c r="D56" s="10" t="inlineStr">
        <is>
          <t>SPD-2716 VoP Data Hosting Interation 1</t>
        </is>
      </c>
      <c r="E56" s="10" t="inlineStr">
        <is>
          <t>SPD-2970</t>
        </is>
      </c>
      <c r="F56" s="10" t="inlineStr">
        <is>
          <t>Move pspIdentifier to Header</t>
        </is>
      </c>
      <c r="G56" s="22" t="n">
        <v>24</v>
      </c>
    </row>
    <row r="57">
      <c r="A57" s="10" t="inlineStr">
        <is>
          <t>Team Ikigai</t>
        </is>
      </c>
      <c r="B57" s="10" t="inlineStr">
        <is>
          <t>Manali Shah</t>
        </is>
      </c>
      <c r="C57" s="10" t="inlineStr">
        <is>
          <t>SPD-2716</t>
        </is>
      </c>
      <c r="D57" s="10" t="inlineStr">
        <is>
          <t>SPD-2716 VoP Data Hosting Interation 1</t>
        </is>
      </c>
      <c r="E57" s="10" t="inlineStr">
        <is>
          <t>SPD-3004</t>
        </is>
      </c>
      <c r="F57" s="10" t="inlineStr">
        <is>
          <t>Add X-Correlation-Id in API</t>
        </is>
      </c>
      <c r="G57" s="22" t="n">
        <v>9.333299999999999</v>
      </c>
    </row>
    <row r="58">
      <c r="A58" s="10" t="inlineStr">
        <is>
          <t>Team Ikigai</t>
        </is>
      </c>
      <c r="B58" s="10" t="inlineStr">
        <is>
          <t>Manali Shah</t>
        </is>
      </c>
      <c r="C58" s="10" t="inlineStr">
        <is>
          <t>SPD-2716</t>
        </is>
      </c>
      <c r="D58" s="10" t="inlineStr">
        <is>
          <t>SPD-2716 VoP Data Hosting Interation 1</t>
        </is>
      </c>
      <c r="E58" s="10" t="inlineStr">
        <is>
          <t>SPD-2959</t>
        </is>
      </c>
      <c r="F58" s="10" t="inlineStr">
        <is>
          <t>Update swagger with load balancer URL</t>
        </is>
      </c>
      <c r="G58" s="22" t="n">
        <v>4</v>
      </c>
    </row>
    <row r="59">
      <c r="A59" s="10" t="inlineStr">
        <is>
          <t>Team Ikigai</t>
        </is>
      </c>
      <c r="B59" s="10" t="inlineStr">
        <is>
          <t>Manali Shah</t>
        </is>
      </c>
      <c r="C59" s="10" t="inlineStr">
        <is>
          <t>SPD-2834</t>
        </is>
      </c>
      <c r="D59" s="10" t="inlineStr">
        <is>
          <t>SPD-2834 VoP Data Hosting Iteration 2</t>
        </is>
      </c>
      <c r="E59" s="10" t="inlineStr">
        <is>
          <t>SPD-3008</t>
        </is>
      </c>
      <c r="F59" s="10" t="inlineStr">
        <is>
          <t>Add country code in onboarding pipeline</t>
        </is>
      </c>
      <c r="G59" s="22" t="n">
        <v>21.3333</v>
      </c>
    </row>
    <row r="60">
      <c r="A60" s="10" t="inlineStr">
        <is>
          <t>Team Ikigai</t>
        </is>
      </c>
      <c r="B60" s="10" t="inlineStr">
        <is>
          <t>Chaitanya Sagi</t>
        </is>
      </c>
      <c r="C60" s="10" t="inlineStr">
        <is>
          <t>SPD-2716</t>
        </is>
      </c>
      <c r="D60" s="10" t="inlineStr">
        <is>
          <t>SPD-2716 VoP Data Hosting Interation 1</t>
        </is>
      </c>
      <c r="E60" s="10" t="inlineStr">
        <is>
          <t>SPD-2878</t>
        </is>
      </c>
      <c r="F60" s="10" t="inlineStr">
        <is>
          <t>Create a separate stack for S3</t>
        </is>
      </c>
      <c r="G60" s="22" t="n">
        <v>89.29519999999999</v>
      </c>
    </row>
    <row r="61">
      <c r="A61" s="10" t="inlineStr">
        <is>
          <t>Team Ikigai</t>
        </is>
      </c>
      <c r="B61" s="10" t="inlineStr">
        <is>
          <t>Chaitanya Sagi</t>
        </is>
      </c>
      <c r="C61" s="10" t="inlineStr">
        <is>
          <t>SPD-2716</t>
        </is>
      </c>
      <c r="D61" s="10" t="inlineStr">
        <is>
          <t>SPD-2716 VoP Data Hosting Interation 1</t>
        </is>
      </c>
      <c r="E61" s="10" t="inlineStr">
        <is>
          <t>SPD-2938</t>
        </is>
      </c>
      <c r="F61" s="10" t="inlineStr">
        <is>
          <t>create opensearch library</t>
        </is>
      </c>
      <c r="G61" s="22" t="n">
        <v>3.4286</v>
      </c>
    </row>
    <row r="62">
      <c r="A62" s="10" t="inlineStr">
        <is>
          <t>Team Ikigai</t>
        </is>
      </c>
      <c r="B62" s="10" t="inlineStr">
        <is>
          <t>Chaitanya Sagi</t>
        </is>
      </c>
      <c r="C62" s="10" t="inlineStr">
        <is>
          <t>SPD-2716</t>
        </is>
      </c>
      <c r="D62" s="10" t="inlineStr">
        <is>
          <t>SPD-2716 VoP Data Hosting Interation 1</t>
        </is>
      </c>
      <c r="E62" s="10" t="inlineStr">
        <is>
          <t>SPD-2948</t>
        </is>
      </c>
      <c r="F62" s="10" t="inlineStr">
        <is>
          <t>create opensearch stack</t>
        </is>
      </c>
      <c r="G62" s="22" t="n">
        <v>3.4286</v>
      </c>
    </row>
    <row r="63">
      <c r="A63" s="10" t="inlineStr">
        <is>
          <t>Team Ikigai</t>
        </is>
      </c>
      <c r="B63" s="10" t="inlineStr">
        <is>
          <t>Chaitanya Sagi</t>
        </is>
      </c>
      <c r="C63" s="10" t="inlineStr">
        <is>
          <t>SPD-2716</t>
        </is>
      </c>
      <c r="D63" s="10" t="inlineStr">
        <is>
          <t>SPD-2716 VoP Data Hosting Interation 1</t>
        </is>
      </c>
      <c r="E63" s="10" t="inlineStr">
        <is>
          <t>SPD-2950</t>
        </is>
      </c>
      <c r="F63" s="10" t="inlineStr">
        <is>
          <t>create network library</t>
        </is>
      </c>
      <c r="G63" s="22" t="n">
        <v>2.7429</v>
      </c>
    </row>
    <row r="64">
      <c r="A64" s="10" t="inlineStr">
        <is>
          <t>Team Ikigai</t>
        </is>
      </c>
      <c r="B64" s="10" t="inlineStr">
        <is>
          <t>Chaitanya Sagi</t>
        </is>
      </c>
      <c r="C64" s="10" t="inlineStr">
        <is>
          <t>SPD-2716</t>
        </is>
      </c>
      <c r="D64" s="10" t="inlineStr">
        <is>
          <t>SPD-2716 VoP Data Hosting Interation 1</t>
        </is>
      </c>
      <c r="E64" s="10" t="inlineStr">
        <is>
          <t>SPD-2995</t>
        </is>
      </c>
      <c r="F64" s="10" t="inlineStr">
        <is>
          <t>Dedicated URL for Data Hosting API</t>
        </is>
      </c>
      <c r="G64" s="22" t="n">
        <v>2.6667</v>
      </c>
    </row>
    <row r="65">
      <c r="A65" s="10" t="inlineStr">
        <is>
          <t>Team Ikigai</t>
        </is>
      </c>
      <c r="B65" s="10" t="inlineStr">
        <is>
          <t>Chaitanya Sagi</t>
        </is>
      </c>
      <c r="C65" s="10" t="inlineStr">
        <is>
          <t>SPD-2749</t>
        </is>
      </c>
      <c r="D65" s="10" t="inlineStr">
        <is>
          <t>SPD-2749 VoP Data Hosting Ingester v1</t>
        </is>
      </c>
      <c r="E65" s="10" t="inlineStr">
        <is>
          <t>SPD-2926</t>
        </is>
      </c>
      <c r="F65" s="10" t="inlineStr">
        <is>
          <t>setup the infra</t>
        </is>
      </c>
      <c r="G65" s="22" t="n">
        <v>5.6</v>
      </c>
    </row>
    <row r="66">
      <c r="A66" s="10" t="inlineStr">
        <is>
          <t>Team Ikigai</t>
        </is>
      </c>
      <c r="B66" s="10" t="inlineStr">
        <is>
          <t>Chaitanya Sagi</t>
        </is>
      </c>
      <c r="C66" s="10" t="inlineStr">
        <is>
          <t>SPD-2749</t>
        </is>
      </c>
      <c r="D66" s="10" t="inlineStr">
        <is>
          <t>SPD-2749 VoP Data Hosting Ingester v1</t>
        </is>
      </c>
      <c r="E66" s="10" t="inlineStr">
        <is>
          <t>SPD-2920</t>
        </is>
      </c>
      <c r="F66" s="10" t="inlineStr">
        <is>
          <t>Infra for email reporting (SES)</t>
        </is>
      </c>
      <c r="G66" s="22" t="n">
        <v>2.9333</v>
      </c>
    </row>
    <row r="67">
      <c r="A67" s="10" t="inlineStr">
        <is>
          <t>Team Ikigai</t>
        </is>
      </c>
      <c r="B67" s="10" t="inlineStr">
        <is>
          <t>borys.rudenko</t>
        </is>
      </c>
      <c r="C67" s="10" t="inlineStr">
        <is>
          <t>SPD-2834</t>
        </is>
      </c>
      <c r="D67" s="10" t="inlineStr">
        <is>
          <t>SPD-2834 VoP Data Hosting Iteration 2</t>
        </is>
      </c>
      <c r="E67" s="10" t="inlineStr">
        <is>
          <t>SPD-3001</t>
        </is>
      </c>
      <c r="F67" s="10" t="inlineStr">
        <is>
          <t>Solution design Multiple Countries One File</t>
        </is>
      </c>
      <c r="G67" s="22" t="n">
        <v>64</v>
      </c>
    </row>
    <row r="68">
      <c r="A68" s="10" t="inlineStr">
        <is>
          <t>Team Ikigai</t>
        </is>
      </c>
      <c r="B68" s="10" t="inlineStr">
        <is>
          <t>Ina Nichitean</t>
        </is>
      </c>
      <c r="C68" s="10" t="inlineStr">
        <is>
          <t>SPD-2716</t>
        </is>
      </c>
      <c r="D68" s="10" t="inlineStr">
        <is>
          <t>SPD-2716 VoP Data Hosting Interation 1</t>
        </is>
      </c>
      <c r="E68" s="10" t="inlineStr">
        <is>
          <t>SPD-2849</t>
        </is>
      </c>
      <c r="F68" s="10" t="inlineStr">
        <is>
          <t>Understand how the AWS backup and restore wor</t>
        </is>
      </c>
      <c r="G68" s="22" t="n">
        <v>40</v>
      </c>
    </row>
    <row r="69">
      <c r="A69" s="10" t="inlineStr">
        <is>
          <t>Team Ikigai</t>
        </is>
      </c>
      <c r="B69" s="10" t="inlineStr">
        <is>
          <t>Alba de Francisco Diaz</t>
        </is>
      </c>
      <c r="C69" s="10" t="inlineStr">
        <is>
          <t>SPD-2716</t>
        </is>
      </c>
      <c r="D69" s="10" t="inlineStr">
        <is>
          <t>SPD-2716 VoP Data Hosting Interation 1</t>
        </is>
      </c>
      <c r="E69" s="10" t="inlineStr">
        <is>
          <t>SPD-2959</t>
        </is>
      </c>
      <c r="F69" s="10" t="inlineStr">
        <is>
          <t>Update swagger with load balancer URL</t>
        </is>
      </c>
      <c r="G69" s="22" t="n">
        <v>8</v>
      </c>
    </row>
    <row r="70">
      <c r="A70" s="10" t="inlineStr">
        <is>
          <t>Team Samba</t>
        </is>
      </c>
      <c r="B70" s="10" t="inlineStr">
        <is>
          <t>Orwa Badran</t>
        </is>
      </c>
      <c r="C70" s="10" t="inlineStr">
        <is>
          <t>SDO-6876</t>
        </is>
      </c>
      <c r="D70" s="10" t="inlineStr">
        <is>
          <t>SDO-6876 VoP Gateway solution</t>
        </is>
      </c>
      <c r="E70" s="10" t="inlineStr">
        <is>
          <t>SDO-7325</t>
        </is>
      </c>
      <c r="F70" s="10" t="inlineStr">
        <is>
          <t>[Accept-Language] Implement the header in Ban</t>
        </is>
      </c>
      <c r="G70" s="22" t="n">
        <v>47.6</v>
      </c>
    </row>
    <row r="71">
      <c r="A71" s="10" t="inlineStr">
        <is>
          <t>Team Samba</t>
        </is>
      </c>
      <c r="B71" s="10" t="inlineStr">
        <is>
          <t>Orwa Badran</t>
        </is>
      </c>
      <c r="C71" s="10" t="inlineStr">
        <is>
          <t>SDO-6876</t>
        </is>
      </c>
      <c r="D71" s="10" t="inlineStr">
        <is>
          <t>SDO-6876 VoP Gateway solution</t>
        </is>
      </c>
      <c r="E71" s="10" t="inlineStr">
        <is>
          <t>SDO-7262</t>
        </is>
      </c>
      <c r="F71" s="10" t="inlineStr">
        <is>
          <t xml:space="preserve">[Accept-Language Header] Implement logic for </t>
        </is>
      </c>
      <c r="G71" s="22" t="n">
        <v>27.6</v>
      </c>
    </row>
    <row r="72">
      <c r="A72" s="10" t="inlineStr">
        <is>
          <t>Team Samba</t>
        </is>
      </c>
      <c r="B72" s="10" t="inlineStr">
        <is>
          <t>Orwa Badran</t>
        </is>
      </c>
      <c r="C72" s="10" t="inlineStr">
        <is>
          <t>SDO-6876</t>
        </is>
      </c>
      <c r="D72" s="10" t="inlineStr">
        <is>
          <t>SDO-6876 VoP Gateway solution</t>
        </is>
      </c>
      <c r="E72" s="10" t="inlineStr">
        <is>
          <t>SDO-7313</t>
        </is>
      </c>
      <c r="F72" s="10" t="inlineStr">
        <is>
          <t>Update ORG to consume 1st available legal nam</t>
        </is>
      </c>
      <c r="G72" s="22" t="n">
        <v>1.6</v>
      </c>
    </row>
    <row r="73">
      <c r="A73" s="10" t="inlineStr">
        <is>
          <t>Team Samba</t>
        </is>
      </c>
      <c r="B73" s="10" t="inlineStr">
        <is>
          <t>Orwa Badran</t>
        </is>
      </c>
      <c r="C73" s="10" t="inlineStr">
        <is>
          <t>SDO-6876</t>
        </is>
      </c>
      <c r="D73" s="10" t="inlineStr">
        <is>
          <t>SDO-6876 VoP Gateway solution</t>
        </is>
      </c>
      <c r="E73" s="10" t="inlineStr">
        <is>
          <t>SDO-7366</t>
        </is>
      </c>
      <c r="F73" s="10" t="inlineStr">
        <is>
          <t xml:space="preserve">Error Type URL must be 70 characters or less </t>
        </is>
      </c>
      <c r="G73" s="22" t="n">
        <v>1.6</v>
      </c>
    </row>
    <row r="74">
      <c r="A74" s="10" t="inlineStr">
        <is>
          <t>Team Samba</t>
        </is>
      </c>
      <c r="B74" s="10" t="inlineStr">
        <is>
          <t>Orwa Badran</t>
        </is>
      </c>
      <c r="C74" s="10" t="inlineStr">
        <is>
          <t>SDO-7209</t>
        </is>
      </c>
      <c r="D74" s="10" t="inlineStr">
        <is>
          <t xml:space="preserve">SDO-7209 VoP Data Provisioning </t>
        </is>
      </c>
      <c r="E74" s="10" t="inlineStr">
        <is>
          <t>SDO-7258</t>
        </is>
      </c>
      <c r="F74" s="10" t="inlineStr">
        <is>
          <t>[Data Provisioning API] Perform changes to th</t>
        </is>
      </c>
      <c r="G74" s="22" t="n">
        <v>13.6</v>
      </c>
    </row>
    <row r="75">
      <c r="A75" s="10" t="inlineStr">
        <is>
          <t>Team Samba</t>
        </is>
      </c>
      <c r="B75" s="10" t="inlineStr">
        <is>
          <t>Orwa Badran</t>
        </is>
      </c>
      <c r="C75" s="10" t="inlineStr">
        <is>
          <t>SDO-7209</t>
        </is>
      </c>
      <c r="D75" s="10" t="inlineStr">
        <is>
          <t xml:space="preserve">SDO-7209 VoP Data Provisioning </t>
        </is>
      </c>
      <c r="E75" s="10" t="inlineStr">
        <is>
          <t>SDO-7279</t>
        </is>
      </c>
      <c r="F75" s="10" t="inlineStr">
        <is>
          <t>[Data Provisioning API] Move the Online DP sp</t>
        </is>
      </c>
      <c r="G75" s="22" t="n">
        <v>13.6</v>
      </c>
    </row>
    <row r="76">
      <c r="A76" s="10" t="inlineStr">
        <is>
          <t>Team Samba</t>
        </is>
      </c>
      <c r="B76" s="10" t="inlineStr">
        <is>
          <t>Orwa Badran</t>
        </is>
      </c>
      <c r="C76" s="10" t="inlineStr">
        <is>
          <t>SDO-7209</t>
        </is>
      </c>
      <c r="D76" s="10" t="inlineStr">
        <is>
          <t xml:space="preserve">SDO-7209 VoP Data Provisioning </t>
        </is>
      </c>
      <c r="E76" s="10" t="inlineStr">
        <is>
          <t>SDO-7234</t>
        </is>
      </c>
      <c r="F76" s="10" t="inlineStr">
        <is>
          <t xml:space="preserve">[P0.3 - VOP DP]Use/employ the new fields for </t>
        </is>
      </c>
      <c r="G76" s="22" t="n">
        <v>1.6</v>
      </c>
    </row>
    <row r="77">
      <c r="A77" s="10" t="inlineStr">
        <is>
          <t>Team Samba</t>
        </is>
      </c>
      <c r="B77" s="10" t="inlineStr">
        <is>
          <t>Ismail Kuyu</t>
        </is>
      </c>
      <c r="C77" s="10" t="inlineStr">
        <is>
          <t>SDO-6876</t>
        </is>
      </c>
      <c r="D77" s="10" t="inlineStr">
        <is>
          <t>SDO-6876 VoP Gateway solution</t>
        </is>
      </c>
      <c r="E77" s="10" t="inlineStr">
        <is>
          <t>SDO-7184</t>
        </is>
      </c>
      <c r="F77" s="10" t="inlineStr">
        <is>
          <t>[Router] Encrypt VAS headers to prevent tampe</t>
        </is>
      </c>
      <c r="G77" s="22" t="n">
        <v>31.8667</v>
      </c>
    </row>
    <row r="78">
      <c r="A78" s="10" t="inlineStr">
        <is>
          <t>Team Samba</t>
        </is>
      </c>
      <c r="B78" s="10" t="inlineStr">
        <is>
          <t>Ismail Kuyu</t>
        </is>
      </c>
      <c r="C78" s="10" t="inlineStr">
        <is>
          <t>SDO-6876</t>
        </is>
      </c>
      <c r="D78" s="10" t="inlineStr">
        <is>
          <t>SDO-6876 VoP Gateway solution</t>
        </is>
      </c>
      <c r="E78" s="10" t="inlineStr">
        <is>
          <t>SDO-7185</t>
        </is>
      </c>
      <c r="F78" s="10" t="inlineStr">
        <is>
          <t>[VoP Gateway] Decrypt VAS headers</t>
        </is>
      </c>
      <c r="G78" s="22" t="n">
        <v>14.5333</v>
      </c>
    </row>
    <row r="79">
      <c r="A79" s="10" t="inlineStr">
        <is>
          <t>Team Samba</t>
        </is>
      </c>
      <c r="B79" s="10" t="inlineStr">
        <is>
          <t>Ismail Kuyu</t>
        </is>
      </c>
      <c r="C79" s="10" t="inlineStr">
        <is>
          <t>SDO-7144</t>
        </is>
      </c>
      <c r="D79" s="10" t="inlineStr">
        <is>
          <t>SDO-7144 VoP Bank API extended</t>
        </is>
      </c>
      <c r="E79" s="10" t="inlineStr">
        <is>
          <t>SDO-7122</t>
        </is>
      </c>
      <c r="F79" s="10" t="inlineStr">
        <is>
          <t>[VOP Bank Bridge] Implement the new Bank v2.2</t>
        </is>
      </c>
      <c r="G79" s="22" t="n">
        <v>10</v>
      </c>
    </row>
    <row r="80">
      <c r="A80" s="10" t="inlineStr">
        <is>
          <t>Team Samba</t>
        </is>
      </c>
      <c r="B80" s="10" t="inlineStr">
        <is>
          <t>Ismail Kuyu</t>
        </is>
      </c>
      <c r="C80" s="10" t="inlineStr">
        <is>
          <t>SDO-7144</t>
        </is>
      </c>
      <c r="D80" s="10" t="inlineStr">
        <is>
          <t>SDO-7144 VoP Bank API extended</t>
        </is>
      </c>
      <c r="E80" s="10" t="inlineStr">
        <is>
          <t>SDO-7345</t>
        </is>
      </c>
      <c r="F80" s="10" t="inlineStr">
        <is>
          <t xml:space="preserve">[bank api VOP] Add additional enum values to </t>
        </is>
      </c>
      <c r="G80" s="22" t="n">
        <v>5.3333</v>
      </c>
    </row>
    <row r="81">
      <c r="A81" s="10" t="inlineStr">
        <is>
          <t>Team Samba</t>
        </is>
      </c>
      <c r="B81" s="10" t="inlineStr">
        <is>
          <t>Ismail Kuyu</t>
        </is>
      </c>
      <c r="C81" s="10" t="inlineStr">
        <is>
          <t>SDO-7209</t>
        </is>
      </c>
      <c r="D81" s="10" t="inlineStr">
        <is>
          <t xml:space="preserve">SDO-7209 VoP Data Provisioning </t>
        </is>
      </c>
      <c r="E81" s="10" t="inlineStr">
        <is>
          <t>SDO-7210</t>
        </is>
      </c>
      <c r="F81" s="10" t="inlineStr">
        <is>
          <t>Implement the new Accounts API from Ikigai to</t>
        </is>
      </c>
      <c r="G81" s="22" t="n">
        <v>22.5333</v>
      </c>
    </row>
    <row r="82">
      <c r="A82" s="10" t="inlineStr">
        <is>
          <t>Team Samba</t>
        </is>
      </c>
      <c r="B82" s="10" t="inlineStr">
        <is>
          <t>Adorjan Fritz</t>
        </is>
      </c>
      <c r="C82" s="10" t="inlineStr">
        <is>
          <t>SDO-5021</t>
        </is>
      </c>
      <c r="D82" s="10" t="inlineStr">
        <is>
          <t xml:space="preserve">SDO-5021 Service Improvements </t>
        </is>
      </c>
      <c r="E82" s="10" t="inlineStr">
        <is>
          <t>SDO-7276</t>
        </is>
      </c>
      <c r="F82" s="10" t="inlineStr">
        <is>
          <t>Update email address validation logic</t>
        </is>
      </c>
      <c r="G82" s="22" t="n">
        <v>58.5333</v>
      </c>
    </row>
    <row r="83">
      <c r="A83" s="10" t="inlineStr">
        <is>
          <t>Team Samba</t>
        </is>
      </c>
      <c r="B83" s="10" t="inlineStr">
        <is>
          <t>Adorjan Fritz</t>
        </is>
      </c>
      <c r="C83" s="10" t="inlineStr">
        <is>
          <t>SDO-6876</t>
        </is>
      </c>
      <c r="D83" s="10" t="inlineStr">
        <is>
          <t>SDO-6876 VoP Gateway solution</t>
        </is>
      </c>
      <c r="E83" s="10" t="inlineStr">
        <is>
          <t>SDO-7184</t>
        </is>
      </c>
      <c r="F83" s="10" t="inlineStr">
        <is>
          <t>[Router] Encrypt VAS headers to prevent tampe</t>
        </is>
      </c>
      <c r="G83" s="22" t="n">
        <v>13.2</v>
      </c>
    </row>
    <row r="84">
      <c r="A84" s="10" t="inlineStr">
        <is>
          <t>Team Samba</t>
        </is>
      </c>
      <c r="B84" s="10" t="inlineStr">
        <is>
          <t>Adorjan Fritz</t>
        </is>
      </c>
      <c r="C84" s="10" t="inlineStr">
        <is>
          <t>SDO-6876</t>
        </is>
      </c>
      <c r="D84" s="10" t="inlineStr">
        <is>
          <t>SDO-6876 VoP Gateway solution</t>
        </is>
      </c>
      <c r="E84" s="10" t="inlineStr">
        <is>
          <t>SDO-7185</t>
        </is>
      </c>
      <c r="F84" s="10" t="inlineStr">
        <is>
          <t>[VoP Gateway] Decrypt VAS headers</t>
        </is>
      </c>
      <c r="G84" s="22" t="n">
        <v>11.6</v>
      </c>
    </row>
    <row r="85">
      <c r="A85" s="10" t="inlineStr">
        <is>
          <t>Team Samba</t>
        </is>
      </c>
      <c r="B85" s="10" t="inlineStr">
        <is>
          <t>Sandhya Pai</t>
        </is>
      </c>
      <c r="C85" s="10" t="inlineStr">
        <is>
          <t>SDO-6876</t>
        </is>
      </c>
      <c r="D85" s="10" t="inlineStr">
        <is>
          <t>SDO-6876 VoP Gateway solution</t>
        </is>
      </c>
      <c r="E85" s="10" t="inlineStr">
        <is>
          <t>SDO-7260</t>
        </is>
      </c>
      <c r="F85" s="10" t="inlineStr">
        <is>
          <t>[VOP Gateway] Apply changes from the Specific</t>
        </is>
      </c>
      <c r="G85" s="22" t="n">
        <v>18.6667</v>
      </c>
    </row>
    <row r="86">
      <c r="A86" s="10" t="inlineStr">
        <is>
          <t>Team Samba</t>
        </is>
      </c>
      <c r="B86" s="10" t="inlineStr">
        <is>
          <t>Sandhya Pai</t>
        </is>
      </c>
      <c r="C86" s="10" t="inlineStr">
        <is>
          <t>SDO-7438</t>
        </is>
      </c>
      <c r="D86" s="10" t="inlineStr">
        <is>
          <t>SDO-7438 VOP Gateway - Enhancements</t>
        </is>
      </c>
      <c r="E86" s="10" t="inlineStr">
        <is>
          <t>SDO-7231</t>
        </is>
      </c>
      <c r="F86" s="10" t="inlineStr">
        <is>
          <t>[VoP Gateway- PRD] Create Apigee proxy for ne</t>
        </is>
      </c>
      <c r="G86" s="22" t="n">
        <v>34.6667</v>
      </c>
    </row>
    <row r="87">
      <c r="A87" s="10" t="inlineStr">
        <is>
          <t>Team Samba</t>
        </is>
      </c>
      <c r="B87" s="10" t="inlineStr">
        <is>
          <t>Ioannis Argyroulis</t>
        </is>
      </c>
      <c r="C87" s="10" t="inlineStr">
        <is>
          <t>SDO-5021</t>
        </is>
      </c>
      <c r="D87" s="10" t="inlineStr">
        <is>
          <t xml:space="preserve">SDO-5021 Service Improvements </t>
        </is>
      </c>
      <c r="E87" s="10" t="inlineStr">
        <is>
          <t>SDO-7295</t>
        </is>
      </c>
      <c r="F87" s="10" t="inlineStr">
        <is>
          <t>Fix outstanding data quality issues arising f</t>
        </is>
      </c>
      <c r="G87" s="22" t="n">
        <v>12.8</v>
      </c>
    </row>
    <row r="88">
      <c r="A88" s="10" t="inlineStr">
        <is>
          <t>Team Samba</t>
        </is>
      </c>
      <c r="B88" s="10" t="inlineStr">
        <is>
          <t>Ioannis Argyroulis</t>
        </is>
      </c>
      <c r="C88" s="10" t="inlineStr">
        <is>
          <t>SDO-6876</t>
        </is>
      </c>
      <c r="D88" s="10" t="inlineStr">
        <is>
          <t>SDO-6876 VoP Gateway solution</t>
        </is>
      </c>
      <c r="E88" s="10" t="inlineStr">
        <is>
          <t>SDO-7192</t>
        </is>
      </c>
      <c r="F88" s="10" t="inlineStr">
        <is>
          <t xml:space="preserve">Update the dataprovisioning API response for </t>
        </is>
      </c>
      <c r="G88" s="22" t="n">
        <v>12.8</v>
      </c>
    </row>
    <row r="89">
      <c r="A89" s="10" t="inlineStr">
        <is>
          <t>Team Samba</t>
        </is>
      </c>
      <c r="B89" s="10" t="inlineStr">
        <is>
          <t>Ioannis Argyroulis</t>
        </is>
      </c>
      <c r="C89" s="10" t="inlineStr">
        <is>
          <t>SDO-7209</t>
        </is>
      </c>
      <c r="D89" s="10" t="inlineStr">
        <is>
          <t xml:space="preserve">SDO-7209 VoP Data Provisioning </t>
        </is>
      </c>
      <c r="E89" s="10" t="inlineStr">
        <is>
          <t>SDO-7237</t>
        </is>
      </c>
      <c r="F89" s="10" t="inlineStr">
        <is>
          <t xml:space="preserve">[VOP Gateway] Cleanup unnecessary data model </t>
        </is>
      </c>
      <c r="G89" s="22" t="n">
        <v>12.8</v>
      </c>
    </row>
    <row r="90">
      <c r="A90" s="10" t="inlineStr">
        <is>
          <t>Team Samba</t>
        </is>
      </c>
      <c r="B90" s="10" t="inlineStr">
        <is>
          <t>Ioannis Argyroulis</t>
        </is>
      </c>
      <c r="C90" s="10" t="inlineStr">
        <is>
          <t>SDO-7209</t>
        </is>
      </c>
      <c r="D90" s="10" t="inlineStr">
        <is>
          <t xml:space="preserve">SDO-7209 VoP Data Provisioning </t>
        </is>
      </c>
      <c r="E90" s="10" t="inlineStr">
        <is>
          <t>SDO-7232</t>
        </is>
      </c>
      <c r="F90" s="10" t="inlineStr">
        <is>
          <t>[P0.1 - VOP DP] Map new fields to VOP from Da</t>
        </is>
      </c>
      <c r="G90" s="22" t="n">
        <v>4.8</v>
      </c>
    </row>
    <row r="91">
      <c r="A91" s="10" t="inlineStr">
        <is>
          <t>Team Samba</t>
        </is>
      </c>
      <c r="B91" s="10" t="inlineStr">
        <is>
          <t>Muhammad Sulaiman</t>
        </is>
      </c>
      <c r="C91" s="10" t="inlineStr">
        <is>
          <t>SDO-5021</t>
        </is>
      </c>
      <c r="D91" s="10" t="inlineStr">
        <is>
          <t xml:space="preserve">SDO-5021 Service Improvements </t>
        </is>
      </c>
      <c r="E91" s="10" t="inlineStr">
        <is>
          <t>SDO-7311</t>
        </is>
      </c>
      <c r="F91" s="10" t="inlineStr">
        <is>
          <t>Skip ECR image push stage for PR builds in je</t>
        </is>
      </c>
      <c r="G91" s="22" t="n">
        <v>32</v>
      </c>
    </row>
    <row r="92">
      <c r="A92" s="10" t="inlineStr">
        <is>
          <t>Team Samba</t>
        </is>
      </c>
      <c r="B92" s="10" t="inlineStr">
        <is>
          <t>Muhammad Sulaiman</t>
        </is>
      </c>
      <c r="C92" s="10" t="inlineStr">
        <is>
          <t>SDO-7209</t>
        </is>
      </c>
      <c r="D92" s="10" t="inlineStr">
        <is>
          <t xml:space="preserve">SDO-7209 VoP Data Provisioning </t>
        </is>
      </c>
      <c r="E92" s="10" t="inlineStr">
        <is>
          <t>SDO-7334</t>
        </is>
      </c>
      <c r="F92" s="10" t="inlineStr">
        <is>
          <t>Connect to the new Accounts API from Ikigai t</t>
        </is>
      </c>
      <c r="G92" s="22" t="n">
        <v>8</v>
      </c>
    </row>
    <row r="93">
      <c r="A93" s="10" t="inlineStr">
        <is>
          <t>Team Samba</t>
        </is>
      </c>
      <c r="B93" s="10" t="inlineStr">
        <is>
          <t>Rachel Guzman V</t>
        </is>
      </c>
      <c r="C93" s="10" t="inlineStr">
        <is>
          <t>SDO-6876</t>
        </is>
      </c>
      <c r="D93" s="10" t="inlineStr">
        <is>
          <t>SDO-6876 VoP Gateway solution</t>
        </is>
      </c>
      <c r="E93" s="10" t="inlineStr">
        <is>
          <t>SDO-7228</t>
        </is>
      </c>
      <c r="F93" s="10" t="inlineStr">
        <is>
          <t>[Investigation] How might we use the Accept-L</t>
        </is>
      </c>
      <c r="G93" s="22" t="n">
        <v>40</v>
      </c>
    </row>
    <row r="94">
      <c r="A94" s="10" t="inlineStr">
        <is>
          <t>Team Samba</t>
        </is>
      </c>
      <c r="B94" s="10" t="inlineStr">
        <is>
          <t>Jay Pavlenko</t>
        </is>
      </c>
      <c r="C94" s="10" t="inlineStr">
        <is>
          <t>SDO-6876</t>
        </is>
      </c>
      <c r="D94" s="10" t="inlineStr">
        <is>
          <t>SDO-6876 VoP Gateway solution</t>
        </is>
      </c>
      <c r="E94" s="10" t="inlineStr">
        <is>
          <t>SDO-7226</t>
        </is>
      </c>
      <c r="F94" s="10" t="inlineStr">
        <is>
          <t>Update mock and Postman Collection for Sandbo</t>
        </is>
      </c>
      <c r="G94" s="22" t="n">
        <v>24</v>
      </c>
    </row>
    <row r="95">
      <c r="A95" s="10" t="inlineStr">
        <is>
          <t>Team Samba</t>
        </is>
      </c>
      <c r="B95" s="10" t="inlineStr">
        <is>
          <t>Sheik Farzand Razi</t>
        </is>
      </c>
      <c r="C95" s="10" t="inlineStr">
        <is>
          <t>SDO-5021</t>
        </is>
      </c>
      <c r="D95" s="10" t="inlineStr">
        <is>
          <t xml:space="preserve">SDO-5021 Service Improvements </t>
        </is>
      </c>
      <c r="E95" s="10" t="inlineStr">
        <is>
          <t>SDO-7281</t>
        </is>
      </c>
      <c r="F95" s="10" t="inlineStr">
        <is>
          <t>Make the snapshot interval in accounts cluste</t>
        </is>
      </c>
      <c r="G95" s="22" t="n">
        <v>6.6667</v>
      </c>
    </row>
    <row r="96">
      <c r="A96" s="10" t="inlineStr">
        <is>
          <t>Team Samba</t>
        </is>
      </c>
      <c r="B96" s="10" t="inlineStr">
        <is>
          <t>Sheik Farzand Razi</t>
        </is>
      </c>
      <c r="C96" s="10" t="inlineStr">
        <is>
          <t>SDO-5021</t>
        </is>
      </c>
      <c r="D96" s="10" t="inlineStr">
        <is>
          <t xml:space="preserve">SDO-5021 Service Improvements </t>
        </is>
      </c>
      <c r="E96" s="10" t="inlineStr">
        <is>
          <t>SDO-7248</t>
        </is>
      </c>
      <c r="F96" s="10" t="inlineStr">
        <is>
          <t>Create AWS alarm for accounts cluster snapsho</t>
        </is>
      </c>
      <c r="G96" s="22" t="n">
        <v>2.6667</v>
      </c>
    </row>
    <row r="97">
      <c r="A97" s="10" t="inlineStr">
        <is>
          <t>Team Samba</t>
        </is>
      </c>
      <c r="B97" s="10" t="inlineStr">
        <is>
          <t>Sheik Farzand Razi</t>
        </is>
      </c>
      <c r="C97" s="10" t="inlineStr">
        <is>
          <t>SDO-6876</t>
        </is>
      </c>
      <c r="D97" s="10" t="inlineStr">
        <is>
          <t>SDO-6876 VoP Gateway solution</t>
        </is>
      </c>
      <c r="E97" s="10" t="inlineStr">
        <is>
          <t>SDO-7312</t>
        </is>
      </c>
      <c r="F97" s="10" t="inlineStr">
        <is>
          <t>Remove the acceptance environment time restri</t>
        </is>
      </c>
      <c r="G97" s="22" t="n">
        <v>6.6667</v>
      </c>
    </row>
    <row r="98">
      <c r="A98" s="10" t="inlineStr">
        <is>
          <t>Team Samba</t>
        </is>
      </c>
      <c r="B98" s="10" t="inlineStr">
        <is>
          <t>Sheik Farzand Razi</t>
        </is>
      </c>
      <c r="C98" s="10" t="inlineStr">
        <is>
          <t>SDO-7209</t>
        </is>
      </c>
      <c r="D98" s="10" t="inlineStr">
        <is>
          <t xml:space="preserve">SDO-7209 VoP Data Provisioning </t>
        </is>
      </c>
      <c r="E98" s="10" t="inlineStr">
        <is>
          <t>SDO-7280</t>
        </is>
      </c>
      <c r="F98" s="10" t="inlineStr">
        <is>
          <t>[Data Provisioning API] Create Jenkins pipeli</t>
        </is>
      </c>
      <c r="G98" s="22" t="n">
        <v>4</v>
      </c>
    </row>
    <row r="99">
      <c r="A99" s="10" t="inlineStr">
        <is>
          <t>YODA</t>
        </is>
      </c>
      <c r="B99" s="10" t="inlineStr">
        <is>
          <t>Richard Oliver</t>
        </is>
      </c>
      <c r="C99" s="10" t="inlineStr">
        <is>
          <t>YODA-1338</t>
        </is>
      </c>
      <c r="D99" s="10" t="inlineStr">
        <is>
          <t>YODA-1338 Auditing &amp; Dashboard POCs</t>
        </is>
      </c>
      <c r="E99" s="10" t="inlineStr">
        <is>
          <t>YODA-1423</t>
        </is>
      </c>
      <c r="F99" s="10" t="inlineStr">
        <is>
          <t>[FluentD] to multiple clusters, relevant inde</t>
        </is>
      </c>
      <c r="G99" s="22" t="n">
        <v>24</v>
      </c>
    </row>
    <row r="100">
      <c r="A100" s="10" t="inlineStr">
        <is>
          <t>YODA</t>
        </is>
      </c>
      <c r="B100" s="10" t="inlineStr">
        <is>
          <t>Richard Oliver</t>
        </is>
      </c>
      <c r="C100" s="10" t="inlineStr">
        <is>
          <t>YODA-1338</t>
        </is>
      </c>
      <c r="D100" s="10" t="inlineStr">
        <is>
          <t>YODA-1338 Auditing &amp; Dashboard POCs</t>
        </is>
      </c>
      <c r="E100" s="10" t="inlineStr">
        <is>
          <t>YODA-1408</t>
        </is>
      </c>
      <c r="F100" s="10" t="inlineStr">
        <is>
          <t xml:space="preserve">[FluentD] Run tests with CVS to push logs to </t>
        </is>
      </c>
      <c r="G100" s="22" t="n">
        <v>4</v>
      </c>
    </row>
    <row r="101">
      <c r="A101" s="10" t="inlineStr">
        <is>
          <t>YODA</t>
        </is>
      </c>
      <c r="B101" s="10" t="inlineStr">
        <is>
          <t>Richard Oliver</t>
        </is>
      </c>
      <c r="C101" s="10" t="inlineStr">
        <is>
          <t>YODA-1430</t>
        </is>
      </c>
      <c r="D101" s="10" t="inlineStr">
        <is>
          <t>YODA-1430 [Audit] Roll out</t>
        </is>
      </c>
      <c r="E101" s="10" t="inlineStr">
        <is>
          <t>YODA-1433</t>
        </is>
      </c>
      <c r="F101" s="10" t="inlineStr">
        <is>
          <t>[Configuration-lambda] on cluster creation ad</t>
        </is>
      </c>
      <c r="G101" s="22" t="n">
        <v>112</v>
      </c>
    </row>
    <row r="102">
      <c r="A102" s="10" t="inlineStr">
        <is>
          <t>YODA</t>
        </is>
      </c>
      <c r="B102" s="10" t="inlineStr">
        <is>
          <t>Richard Oliver</t>
        </is>
      </c>
      <c r="C102" s="10" t="inlineStr">
        <is>
          <t>YODA-1430</t>
        </is>
      </c>
      <c r="D102" s="10" t="inlineStr">
        <is>
          <t>YODA-1430 [Audit] Roll out</t>
        </is>
      </c>
      <c r="E102" s="10" t="inlineStr">
        <is>
          <t>YODA-1440</t>
        </is>
      </c>
      <c r="F102" s="10" t="inlineStr">
        <is>
          <t>Are ILM Rules needed in combinations with Dat</t>
        </is>
      </c>
      <c r="G102" s="22" t="n">
        <v>24</v>
      </c>
    </row>
    <row r="103">
      <c r="A103" s="10" t="inlineStr">
        <is>
          <t>YODA</t>
        </is>
      </c>
      <c r="B103" s="10" t="inlineStr">
        <is>
          <t>Richard Oliver</t>
        </is>
      </c>
      <c r="C103" s="10" t="inlineStr">
        <is>
          <t>YODA-1430</t>
        </is>
      </c>
      <c r="D103" s="10" t="inlineStr">
        <is>
          <t>YODA-1430 [Audit] Roll out</t>
        </is>
      </c>
      <c r="E103" s="10" t="inlineStr">
        <is>
          <t>YODA-1434</t>
        </is>
      </c>
      <c r="F103" s="10" t="inlineStr">
        <is>
          <t>[Configuration-lambda] Add ILM Rules to lambd</t>
        </is>
      </c>
      <c r="G103" s="22" t="n">
        <v>20</v>
      </c>
    </row>
    <row r="104">
      <c r="A104" s="10" t="inlineStr">
        <is>
          <t>YODA</t>
        </is>
      </c>
      <c r="B104" s="10" t="inlineStr">
        <is>
          <t>Parth Mewada</t>
        </is>
      </c>
      <c r="C104" s="10" t="inlineStr">
        <is>
          <t>YODA-1430</t>
        </is>
      </c>
      <c r="D104" s="10" t="inlineStr">
        <is>
          <t>YODA-1430 [Audit] Roll out</t>
        </is>
      </c>
      <c r="E104" s="10" t="inlineStr">
        <is>
          <t>YODA-1451</t>
        </is>
      </c>
      <c r="F104" s="10" t="inlineStr">
        <is>
          <t>Configure Tenants through ssm</t>
        </is>
      </c>
      <c r="G104" s="22" t="n">
        <v>64</v>
      </c>
    </row>
    <row r="105">
      <c r="A105" s="10" t="inlineStr">
        <is>
          <t>YODA</t>
        </is>
      </c>
      <c r="B105" s="10" t="inlineStr">
        <is>
          <t>Parth Mewada</t>
        </is>
      </c>
      <c r="C105" s="10" t="inlineStr">
        <is>
          <t>YODA-1430</t>
        </is>
      </c>
      <c r="D105" s="10" t="inlineStr">
        <is>
          <t>YODA-1430 [Audit] Roll out</t>
        </is>
      </c>
      <c r="E105" s="10" t="inlineStr">
        <is>
          <t>YODA-1453</t>
        </is>
      </c>
      <c r="F105" s="10" t="inlineStr">
        <is>
          <t>Fix release pipeline for VOP Audit repo</t>
        </is>
      </c>
      <c r="G105" s="22" t="n">
        <v>32</v>
      </c>
    </row>
    <row r="106">
      <c r="A106" s="10" t="inlineStr">
        <is>
          <t>YODA</t>
        </is>
      </c>
      <c r="B106" s="10" t="inlineStr">
        <is>
          <t>Ramseshu Ghanta</t>
        </is>
      </c>
      <c r="C106" s="10" t="inlineStr">
        <is>
          <t>YODA-1046</t>
        </is>
      </c>
      <c r="D106" s="10" t="inlineStr">
        <is>
          <t>YODA-1046 OPA - JPM V1</t>
        </is>
      </c>
      <c r="E106" s="10" t="inlineStr">
        <is>
          <t>YODA-1297</t>
        </is>
      </c>
      <c r="F106" s="10" t="inlineStr">
        <is>
          <t>Respond Not_Found for 3010 and Not_In_Scope f</t>
        </is>
      </c>
      <c r="G106" s="22" t="n">
        <v>14.6667</v>
      </c>
    </row>
    <row r="107">
      <c r="A107" s="10" t="inlineStr">
        <is>
          <t>YODA</t>
        </is>
      </c>
      <c r="B107" s="10" t="inlineStr">
        <is>
          <t>Ramseshu Ghanta</t>
        </is>
      </c>
      <c r="C107" s="10" t="inlineStr">
        <is>
          <t>YODA-1046</t>
        </is>
      </c>
      <c r="D107" s="10" t="inlineStr">
        <is>
          <t>YODA-1046 OPA - JPM V1</t>
        </is>
      </c>
      <c r="E107" s="10" t="inlineStr">
        <is>
          <t>YODA-1424</t>
        </is>
      </c>
      <c r="F107" s="10" t="inlineStr">
        <is>
          <t>[PRD] deploy Respond Not_Found for 3010 and N</t>
        </is>
      </c>
      <c r="G107" s="22" t="n">
        <v>8</v>
      </c>
    </row>
    <row r="108">
      <c r="A108" s="10" t="inlineStr">
        <is>
          <t>YODA</t>
        </is>
      </c>
      <c r="B108" s="10" t="inlineStr">
        <is>
          <t>Ramseshu Ghanta</t>
        </is>
      </c>
      <c r="C108" s="10" t="inlineStr">
        <is>
          <t>YODA-1430</t>
        </is>
      </c>
      <c r="D108" s="10" t="inlineStr">
        <is>
          <t>YODA-1430 [Audit] Roll out</t>
        </is>
      </c>
      <c r="E108" s="10" t="inlineStr">
        <is>
          <t>YODA-1431</t>
        </is>
      </c>
      <c r="F108" s="10" t="inlineStr">
        <is>
          <t>[Onboarding-lambda] Create index pattern with</t>
        </is>
      </c>
      <c r="G108" s="22" t="n">
        <v>58.6667</v>
      </c>
    </row>
    <row r="109">
      <c r="A109" s="10" t="inlineStr">
        <is>
          <t>YODA</t>
        </is>
      </c>
      <c r="B109" s="10" t="inlineStr">
        <is>
          <t>Mark Moorcroft</t>
        </is>
      </c>
      <c r="C109" s="10" t="inlineStr">
        <is>
          <t>YODA-1046</t>
        </is>
      </c>
      <c r="D109" s="10" t="inlineStr">
        <is>
          <t>YODA-1046 OPA - JPM V1</t>
        </is>
      </c>
      <c r="E109" s="10" t="inlineStr">
        <is>
          <t>YODA-1442</t>
        </is>
      </c>
      <c r="F109" s="10" t="inlineStr">
        <is>
          <t>PROD UK - OPA/JPM - 500 errors</t>
        </is>
      </c>
      <c r="G109" s="22" t="n">
        <v>16</v>
      </c>
    </row>
    <row r="110">
      <c r="A110" s="10" t="inlineStr">
        <is>
          <t>YODA</t>
        </is>
      </c>
      <c r="B110" s="10" t="inlineStr">
        <is>
          <t>Mark Moorcroft</t>
        </is>
      </c>
      <c r="C110" s="10" t="inlineStr">
        <is>
          <t>YODA-1430</t>
        </is>
      </c>
      <c r="D110" s="10" t="inlineStr">
        <is>
          <t>YODA-1430 [Audit] Roll out</t>
        </is>
      </c>
      <c r="E110" s="10" t="inlineStr">
        <is>
          <t>YODA-1445</t>
        </is>
      </c>
      <c r="F110" s="10" t="inlineStr">
        <is>
          <t>Create new AWS role and role mapping for conf</t>
        </is>
      </c>
      <c r="G110" s="22" t="n">
        <v>44</v>
      </c>
    </row>
    <row r="112">
      <c r="F112" s="3" t="inlineStr">
        <is>
          <t>TOTAL</t>
        </is>
      </c>
      <c r="G112" s="16">
        <f>SUM(G4:G110)</f>
        <v/>
      </c>
    </row>
  </sheetData>
  <autoFilter ref="A3:G1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PT-57</t>
        </is>
      </c>
      <c r="C4" s="10" t="inlineStr">
        <is>
          <t>Absent from the mapping CSV entirely</t>
        </is>
      </c>
      <c r="D4" s="10" t="inlineStr">
        <is>
          <t>PT-90</t>
        </is>
      </c>
      <c r="E4" s="10" t="inlineStr">
        <is>
          <t>Treated as non-WBSO. Add a row to the CSV if it should count.</t>
        </is>
      </c>
    </row>
    <row r="5">
      <c r="A5" s="10" t="inlineStr">
        <is>
          <t>Team Horizon</t>
        </is>
      </c>
      <c r="B5" s="10" t="inlineStr">
        <is>
          <t>SUK-1438</t>
        </is>
      </c>
      <c r="C5" s="10" t="inlineStr">
        <is>
          <t>Absent from the mapping CSV entirely</t>
        </is>
      </c>
      <c r="D5" s="10" t="inlineStr">
        <is>
          <t>SUK-1557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SUK-2339</t>
        </is>
      </c>
      <c r="C6" s="10" t="inlineStr">
        <is>
          <t>Absent from the mapping CSV entirely</t>
        </is>
      </c>
      <c r="D6" s="10" t="inlineStr">
        <is>
          <t>SUK-3511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SUK-4741</t>
        </is>
      </c>
      <c r="C7" s="10" t="inlineStr">
        <is>
          <t>Absent from the mapping CSV entirely</t>
        </is>
      </c>
      <c r="D7" s="10" t="inlineStr">
        <is>
          <t>SUK-4751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SUK-6072</t>
        </is>
      </c>
      <c r="C8" s="10" t="inlineStr">
        <is>
          <t>Absent from the mapping CSV entirely</t>
        </is>
      </c>
      <c r="D8" s="10" t="inlineStr">
        <is>
          <t>SUK-2977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SUK-6076</t>
        </is>
      </c>
      <c r="C9" s="10" t="inlineStr">
        <is>
          <t>Absent from the mapping CSV entirely</t>
        </is>
      </c>
      <c r="D9" s="10" t="inlineStr">
        <is>
          <t>SUK-5097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Samba</t>
        </is>
      </c>
      <c r="B10" s="10" t="inlineStr">
        <is>
          <t>SDO-8170</t>
        </is>
      </c>
      <c r="C10" s="10" t="inlineStr">
        <is>
          <t>Absent from the mapping CSV entirely</t>
        </is>
      </c>
      <c r="D10" s="10" t="inlineStr">
        <is>
          <t>SDO-7265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Samba</t>
        </is>
      </c>
      <c r="B11" s="10" t="inlineStr">
        <is>
          <t>SDO-8305</t>
        </is>
      </c>
      <c r="C11" s="10" t="inlineStr">
        <is>
          <t>Absent from the mapping CSV entirely</t>
        </is>
      </c>
      <c r="D11" s="10" t="inlineStr">
        <is>
          <t>SDO-5879</t>
        </is>
      </c>
      <c r="E11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2026-08-21T16:42:52Z</dcterms:created>
  <dcterms:modified xsi:type="dcterms:W3CDTF">2026-08-21T16:42:52Z</dcterms:modified>
</cp:coreProperties>
</file>
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  <sheet name="Pastel de Portal Team" sheetId="3" state="visible" r:id="rId3"/>
    <sheet name="Platform Team 6" sheetId="4" state="visible" r:id="rId4"/>
    <sheet name="Team Horizon" sheetId="5" state="visible" r:id="rId5"/>
    <sheet name="Team Ikigai" sheetId="6" state="visible" r:id="rId6"/>
    <sheet name="Team Samba" sheetId="7" state="visible" r:id="rId7"/>
    <sheet name="YODA" sheetId="8" state="visible" r:id="rId8"/>
    <sheet name="Detail" sheetId="9" state="visible" r:id="rId9"/>
    <sheet name="Diagnostics" sheetId="10" state="visible" r:id="rId10"/>
  </sheets>
  <definedNames>
    <definedName name="_xlnm._FilterDatabase" localSheetId="1" hidden="1">'Summary'!$A$4:$J$10</definedName>
    <definedName name="_xlnm._FilterDatabase" localSheetId="8" hidden="1">'Detail'!$A$3:$G$146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  <font>
      <name val="Arial"/>
      <i val="1"/>
      <color rgb="00666666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164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Consolidated WBSO Hours — run parameters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5">
      <c r="A5" s="3" t="inlineStr">
        <is>
          <t>Hours per engineer per day</t>
        </is>
      </c>
      <c r="B5" s="4" t="n">
        <v>8</v>
      </c>
    </row>
    <row r="6">
      <c r="A6" s="3" t="inlineStr">
        <is>
          <t>Reporting month</t>
        </is>
      </c>
      <c r="B6" s="5" t="inlineStr">
        <is>
          <t>2025-11</t>
        </is>
      </c>
    </row>
    <row r="7">
      <c r="A7" s="3" t="inlineStr">
        <is>
          <t>Teams in scope</t>
        </is>
      </c>
      <c r="B7" s="5" t="n">
        <v>6</v>
      </c>
    </row>
    <row r="8">
      <c r="A8" s="3" t="inlineStr">
        <is>
          <t>Teams with WBSO hours</t>
        </is>
      </c>
      <c r="B8" s="5" t="n">
        <v>6</v>
      </c>
    </row>
    <row r="9">
      <c r="A9" s="3" t="inlineStr">
        <is>
          <t>Epic filter</t>
        </is>
      </c>
      <c r="B9" s="5" t="inlineStr">
        <is>
          <t>WBSO epics flagged for each team</t>
        </is>
      </c>
    </row>
    <row r="10">
      <c r="A10" s="3" t="inlineStr">
        <is>
          <t>Mapping CSV</t>
        </is>
      </c>
      <c r="B10" s="5" t="inlineStr">
        <is>
          <t>epics-mapping.csv</t>
        </is>
      </c>
    </row>
    <row r="11">
      <c r="A11" s="3" t="inlineStr">
        <is>
          <t>Generated by</t>
        </is>
      </c>
      <c r="B11" s="5" t="inlineStr">
        <is>
          <t>engineering-metrics / consolidated-wbso-hours</t>
        </is>
      </c>
    </row>
    <row r="13">
      <c r="A13" s="6" t="inlineStr">
        <is>
          <t>Method</t>
        </is>
      </c>
    </row>
    <row r="14" ht="28" customHeight="1">
      <c r="A14" s="7" t="inlineStr">
        <is>
          <t>• A weekday on which an engineer held a ticket while it was In Progress makes that ticket active for them that day.</t>
        </is>
      </c>
    </row>
    <row r="15" ht="28" customHeight="1">
      <c r="A15" s="7" t="inlineStr">
        <is>
          <t>• Each engineer-day is worth at most the hours-per-day figure above, split equally across every ticket active that day.</t>
        </is>
      </c>
    </row>
    <row r="16" ht="28" customHeight="1">
      <c r="A16" s="7" t="inlineStr">
        <is>
          <t>• The split denominator is ALL tickets held that day, including non-WBSO ones. Filtering to WBSO removes rows but never inflates the hours remaining — important for a subsidy claim.</t>
        </is>
      </c>
    </row>
    <row r="17" ht="28" customHeight="1">
      <c r="A17" s="7" t="inlineStr">
        <is>
          <t>• An engineer working for two teams in the month is counted under each, so team capacity figures do not sum to a person-month.</t>
        </is>
      </c>
    </row>
    <row r="18" ht="28" customHeight="1">
      <c r="A18" s="7" t="inlineStr">
        <is>
          <t>• Weekends are excluded. Public holidays are NOT excluded.</t>
        </is>
      </c>
    </row>
    <row r="19" ht="28" customHeight="1">
      <c r="A19" s="7" t="inlineStr">
        <is>
          <t>• Hours on the Detail sheet are computed by the tool from the Jira changelog; they are inputs here, not sheet-derived. Every total above them is a formula.</t>
        </is>
      </c>
    </row>
  </sheetData>
  <mergeCells count="6">
    <mergeCell ref="A16:B16"/>
    <mergeCell ref="A15:B15"/>
    <mergeCell ref="A19:B19"/>
    <mergeCell ref="A14:B14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1" customWidth="1" min="4" max="4"/>
    <col width="11" customWidth="1" min="5" max="5"/>
    <col width="13" customWidth="1" min="6" max="6"/>
    <col width="16" customWidth="1" min="7" max="7"/>
    <col width="15" customWidth="1" min="8" max="8"/>
    <col width="12" customWidth="1" min="9" max="9"/>
    <col width="34" customWidth="1" min="10" max="10"/>
  </cols>
  <sheetData>
    <row r="1">
      <c r="A1" s="1" t="inlineStr">
        <is>
          <t>WBSO hours per team</t>
        </is>
      </c>
    </row>
    <row r="2">
      <c r="A2" s="8" t="inlineStr">
        <is>
          <t>Hours are SUMIFS over Detail. Capacity = active engineer-days x hours-per-day (Assumptions!B5).</t>
        </is>
      </c>
    </row>
    <row r="4">
      <c r="A4" s="9" t="inlineStr">
        <is>
          <t>Team</t>
        </is>
      </c>
      <c r="B4" s="9" t="inlineStr">
        <is>
          <t>Jira key</t>
        </is>
      </c>
      <c r="C4" s="9" t="inlineStr">
        <is>
          <t>Sheet</t>
        </is>
      </c>
      <c r="D4" s="9" t="inlineStr">
        <is>
          <t>Engineers</t>
        </is>
      </c>
      <c r="E4" s="9" t="inlineStr">
        <is>
          <t>WBSO epics</t>
        </is>
      </c>
      <c r="F4" s="9" t="inlineStr">
        <is>
          <t>WBSO hours</t>
        </is>
      </c>
      <c r="G4" s="9" t="inlineStr">
        <is>
          <t>Active eng-days</t>
        </is>
      </c>
      <c r="H4" s="9" t="inlineStr">
        <is>
          <t>Capacity hours</t>
        </is>
      </c>
      <c r="I4" s="9" t="inlineStr">
        <is>
          <t>WBSO share</t>
        </is>
      </c>
      <c r="J4" s="9" t="inlineStr">
        <is>
          <t>Status</t>
        </is>
      </c>
    </row>
    <row r="5">
      <c r="A5" s="10" t="inlineStr">
        <is>
          <t>Pastel de Portal Team</t>
        </is>
      </c>
      <c r="B5" s="10" t="inlineStr">
        <is>
          <t>PT</t>
        </is>
      </c>
      <c r="C5" s="10" t="inlineStr">
        <is>
          <t>Pastel de Portal Team</t>
        </is>
      </c>
      <c r="D5" s="11" t="n">
        <v>8</v>
      </c>
      <c r="E5" s="11" t="n">
        <v>6</v>
      </c>
      <c r="F5" s="12">
        <f>SUMIFS(Detail!$G$4:$G$146,Detail!$A$4:$A$146,$A5)</f>
        <v/>
      </c>
      <c r="G5" s="11" t="n">
        <v>146</v>
      </c>
      <c r="H5" s="12">
        <f>$G5*Assumptions!$B$5</f>
        <v/>
      </c>
      <c r="I5" s="13">
        <f>IFERROR($F5/$H5,0)</f>
        <v/>
      </c>
      <c r="J5" s="10" t="inlineStr">
        <is>
          <t>220.4h across 8 engineer(s)</t>
        </is>
      </c>
    </row>
    <row r="6">
      <c r="A6" s="10" t="inlineStr">
        <is>
          <t>Platform Team 6</t>
        </is>
      </c>
      <c r="B6" s="10" t="inlineStr">
        <is>
          <t>PT6</t>
        </is>
      </c>
      <c r="C6" s="10" t="inlineStr">
        <is>
          <t>Platform Team 6</t>
        </is>
      </c>
      <c r="D6" s="11" t="n">
        <v>5</v>
      </c>
      <c r="E6" s="11" t="n">
        <v>5</v>
      </c>
      <c r="F6" s="12">
        <f>SUMIFS(Detail!$G$4:$G$146,Detail!$A$4:$A$146,$A6)</f>
        <v/>
      </c>
      <c r="G6" s="11" t="n">
        <v>101</v>
      </c>
      <c r="H6" s="12">
        <f>$G6*Assumptions!$B$5</f>
        <v/>
      </c>
      <c r="I6" s="13">
        <f>IFERROR($F6/$H6,0)</f>
        <v/>
      </c>
      <c r="J6" s="10" t="inlineStr">
        <is>
          <t>465.3h across 5 engineer(s)</t>
        </is>
      </c>
    </row>
    <row r="7">
      <c r="A7" s="10" t="inlineStr">
        <is>
          <t>Team Horizon</t>
        </is>
      </c>
      <c r="B7" s="10" t="inlineStr">
        <is>
          <t>SUK</t>
        </is>
      </c>
      <c r="C7" s="10" t="inlineStr">
        <is>
          <t>Team Horizon</t>
        </is>
      </c>
      <c r="D7" s="11" t="n">
        <v>12</v>
      </c>
      <c r="E7" s="11" t="n">
        <v>13</v>
      </c>
      <c r="F7" s="12">
        <f>SUMIFS(Detail!$G$4:$G$146,Detail!$A$4:$A$146,$A7)</f>
        <v/>
      </c>
      <c r="G7" s="11" t="n">
        <v>230</v>
      </c>
      <c r="H7" s="12">
        <f>$G7*Assumptions!$B$5</f>
        <v/>
      </c>
      <c r="I7" s="13">
        <f>IFERROR($F7/$H7,0)</f>
        <v/>
      </c>
      <c r="J7" s="10" t="inlineStr">
        <is>
          <t>436.8h across 12 engineer(s)</t>
        </is>
      </c>
    </row>
    <row r="8">
      <c r="A8" s="10" t="inlineStr">
        <is>
          <t>Team Ikigai</t>
        </is>
      </c>
      <c r="B8" s="10" t="inlineStr">
        <is>
          <t>SPD</t>
        </is>
      </c>
      <c r="C8" s="10" t="inlineStr">
        <is>
          <t>Team Ikigai</t>
        </is>
      </c>
      <c r="D8" s="11" t="n">
        <v>7</v>
      </c>
      <c r="E8" s="11" t="n">
        <v>25</v>
      </c>
      <c r="F8" s="12">
        <f>SUMIFS(Detail!$G$4:$G$146,Detail!$A$4:$A$146,$A8)</f>
        <v/>
      </c>
      <c r="G8" s="11" t="n">
        <v>131</v>
      </c>
      <c r="H8" s="12">
        <f>$G8*Assumptions!$B$5</f>
        <v/>
      </c>
      <c r="I8" s="13">
        <f>IFERROR($F8/$H8,0)</f>
        <v/>
      </c>
      <c r="J8" s="10" t="inlineStr">
        <is>
          <t>666.6h across 7 engineer(s)</t>
        </is>
      </c>
    </row>
    <row r="9">
      <c r="A9" s="10" t="inlineStr">
        <is>
          <t>Team Samba</t>
        </is>
      </c>
      <c r="B9" s="10" t="inlineStr">
        <is>
          <t>SDO</t>
        </is>
      </c>
      <c r="C9" s="10" t="inlineStr">
        <is>
          <t>Team Samba</t>
        </is>
      </c>
      <c r="D9" s="11" t="n">
        <v>7</v>
      </c>
      <c r="E9" s="11" t="n">
        <v>18</v>
      </c>
      <c r="F9" s="12">
        <f>SUMIFS(Detail!$G$4:$G$146,Detail!$A$4:$A$146,$A9)</f>
        <v/>
      </c>
      <c r="G9" s="11" t="n">
        <v>135</v>
      </c>
      <c r="H9" s="12">
        <f>$G9*Assumptions!$B$5</f>
        <v/>
      </c>
      <c r="I9" s="13">
        <f>IFERROR($F9/$H9,0)</f>
        <v/>
      </c>
      <c r="J9" s="10" t="inlineStr">
        <is>
          <t>369.1h across 7 engineer(s)</t>
        </is>
      </c>
    </row>
    <row r="10">
      <c r="A10" s="10" t="inlineStr">
        <is>
          <t>YODA</t>
        </is>
      </c>
      <c r="B10" s="10" t="inlineStr">
        <is>
          <t>YODA</t>
        </is>
      </c>
      <c r="C10" s="10" t="inlineStr">
        <is>
          <t>YODA</t>
        </is>
      </c>
      <c r="D10" s="11" t="n">
        <v>7</v>
      </c>
      <c r="E10" s="11" t="n">
        <v>29</v>
      </c>
      <c r="F10" s="12">
        <f>SUMIFS(Detail!$G$4:$G$146,Detail!$A$4:$A$146,$A10)</f>
        <v/>
      </c>
      <c r="G10" s="11" t="n">
        <v>118</v>
      </c>
      <c r="H10" s="12">
        <f>$G10*Assumptions!$B$5</f>
        <v/>
      </c>
      <c r="I10" s="13">
        <f>IFERROR($F10/$H10,0)</f>
        <v/>
      </c>
      <c r="J10" s="10" t="inlineStr">
        <is>
          <t>628.6h across 7 engineer(s)</t>
        </is>
      </c>
    </row>
    <row r="12">
      <c r="A12" s="3" t="inlineStr">
        <is>
          <t>ALL TEAMS</t>
        </is>
      </c>
      <c r="D12" s="14">
        <f>SUM(D5:D10)</f>
        <v/>
      </c>
      <c r="E12" s="14">
        <f>SUM(E5:E10)</f>
        <v/>
      </c>
      <c r="F12" s="15">
        <f>SUM(F5:F10)</f>
        <v/>
      </c>
      <c r="G12" s="14">
        <f>SUM(G5:G10)</f>
        <v/>
      </c>
      <c r="H12" s="15">
        <f>SUM(H5:H10)</f>
        <v/>
      </c>
      <c r="I12" s="16">
        <f>IFERROR($F12/$H12,0)</f>
        <v/>
      </c>
    </row>
  </sheetData>
  <autoFilter ref="A4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Pastel de Portal Team — WBSO hours, 2025-11</t>
        </is>
      </c>
    </row>
    <row r="2">
      <c r="A2" s="5" t="inlineStr">
        <is>
          <t>Pastel de Portal Team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Basar Soker</t>
        </is>
      </c>
      <c r="B5" s="10" t="inlineStr">
        <is>
          <t>PT-421</t>
        </is>
      </c>
      <c r="C5" s="10" t="inlineStr">
        <is>
          <t>PT-421 Multi Region Implementation</t>
        </is>
      </c>
      <c r="D5" s="12">
        <f>SUMIFS(Detail!$G$4:$G$146,Detail!$A$4:$A$146,$A$2,Detail!$B$4:$B$146,$A5,Detail!$C$4:$C$146,$B5)</f>
        <v/>
      </c>
    </row>
    <row r="6">
      <c r="A6" s="10" t="inlineStr">
        <is>
          <t>alan.silva</t>
        </is>
      </c>
      <c r="B6" s="10" t="inlineStr">
        <is>
          <t>PT-420</t>
        </is>
      </c>
      <c r="C6" s="10" t="inlineStr">
        <is>
          <t>PT-420 VoP For Corporates</t>
        </is>
      </c>
      <c r="D6" s="12">
        <f>SUMIFS(Detail!$G$4:$G$146,Detail!$A$4:$A$146,$A$2,Detail!$B$4:$B$146,$A6,Detail!$C$4:$C$146,$B6)</f>
        <v/>
      </c>
    </row>
    <row r="7">
      <c r="A7" s="10" t="inlineStr">
        <is>
          <t>alan.silva</t>
        </is>
      </c>
      <c r="B7" s="10" t="inlineStr">
        <is>
          <t>PT-421</t>
        </is>
      </c>
      <c r="C7" s="10" t="inlineStr">
        <is>
          <t>PT-421 Multi Region Implementation</t>
        </is>
      </c>
      <c r="D7" s="12">
        <f>SUMIFS(Detail!$G$4:$G$146,Detail!$A$4:$A$146,$A$2,Detail!$B$4:$B$146,$A7,Detail!$C$4:$C$146,$B7)</f>
        <v/>
      </c>
    </row>
    <row r="8">
      <c r="A8" s="10" t="inlineStr">
        <is>
          <t>Vitor Fernandes</t>
        </is>
      </c>
      <c r="B8" s="10" t="inlineStr">
        <is>
          <t>PT-420</t>
        </is>
      </c>
      <c r="C8" s="10" t="inlineStr">
        <is>
          <t>PT-420 VoP For Corporates</t>
        </is>
      </c>
      <c r="D8" s="12">
        <f>SUMIFS(Detail!$G$4:$G$146,Detail!$A$4:$A$146,$A$2,Detail!$B$4:$B$146,$A8,Detail!$C$4:$C$146,$B8)</f>
        <v/>
      </c>
    </row>
    <row r="9">
      <c r="A9" s="10" t="inlineStr">
        <is>
          <t>Vitor Fernandes</t>
        </is>
      </c>
      <c r="B9" s="10" t="inlineStr">
        <is>
          <t>PT-421</t>
        </is>
      </c>
      <c r="C9" s="10" t="inlineStr">
        <is>
          <t>PT-421 Multi Region Implementation</t>
        </is>
      </c>
      <c r="D9" s="12">
        <f>SUMIFS(Detail!$G$4:$G$146,Detail!$A$4:$A$146,$A$2,Detail!$B$4:$B$146,$A9,Detail!$C$4:$C$146,$B9)</f>
        <v/>
      </c>
    </row>
    <row r="10">
      <c r="A10" s="10" t="inlineStr">
        <is>
          <t>Fabio Santos</t>
        </is>
      </c>
      <c r="B10" s="10" t="inlineStr">
        <is>
          <t>PT-351</t>
        </is>
      </c>
      <c r="C10" s="10" t="inlineStr">
        <is>
          <t>PT-351 VOP File Check Improvements</t>
        </is>
      </c>
      <c r="D10" s="12">
        <f>SUMIFS(Detail!$G$4:$G$146,Detail!$A$4:$A$146,$A$2,Detail!$B$4:$B$146,$A10,Detail!$C$4:$C$146,$B10)</f>
        <v/>
      </c>
    </row>
    <row r="11">
      <c r="A11" s="17" t="n"/>
      <c r="B11" s="17" t="n"/>
      <c r="C11" s="18" t="inlineStr">
        <is>
          <t>TEAM TOTAL</t>
        </is>
      </c>
      <c r="D11" s="19">
        <f>SUM(D5:D10)</f>
        <v/>
      </c>
    </row>
    <row r="14">
      <c r="A14" s="6" t="inlineStr">
        <is>
          <t>Per engineer</t>
        </is>
      </c>
    </row>
    <row r="15">
      <c r="A15" s="9" t="inlineStr">
        <is>
          <t>Engineer</t>
        </is>
      </c>
      <c r="B15" s="9" t="inlineStr">
        <is>
          <t>WBSO hours</t>
        </is>
      </c>
      <c r="C15" s="9" t="inlineStr">
        <is>
          <t>Day equivalent</t>
        </is>
      </c>
      <c r="D15" s="9" t="inlineStr">
        <is>
          <t>Active days</t>
        </is>
      </c>
      <c r="E15" s="9" t="inlineStr">
        <is>
          <t>Capacity hours</t>
        </is>
      </c>
      <c r="F15" s="9" t="inlineStr">
        <is>
          <t>WBSO share</t>
        </is>
      </c>
      <c r="G15" s="9" t="inlineStr">
        <is>
          <t>Peak tickets/day</t>
        </is>
      </c>
    </row>
    <row r="16">
      <c r="A16" s="10" t="inlineStr">
        <is>
          <t>Basar Soker</t>
        </is>
      </c>
      <c r="B16" s="12">
        <f>SUMIFS(Detail!$G$4:$G$146,Detail!$A$4:$A$146,$A$2,Detail!$B$4:$B$146,$A16)</f>
        <v/>
      </c>
      <c r="C16" s="12">
        <f>IFERROR($B16/Assumptions!$B$5,0)</f>
        <v/>
      </c>
      <c r="D16" s="11" t="n">
        <v>21</v>
      </c>
      <c r="E16" s="12">
        <f>$D16*Assumptions!$B$5</f>
        <v/>
      </c>
      <c r="F16" s="13">
        <f>IFERROR($B16/$E16,0)</f>
        <v/>
      </c>
      <c r="G16" s="11" t="inlineStr">
        <is>
          <t>4 on 28 Nov</t>
        </is>
      </c>
    </row>
    <row r="17">
      <c r="A17" s="10" t="inlineStr">
        <is>
          <t>alan.silva</t>
        </is>
      </c>
      <c r="B17" s="12">
        <f>SUMIFS(Detail!$G$4:$G$146,Detail!$A$4:$A$146,$A$2,Detail!$B$4:$B$146,$A17)</f>
        <v/>
      </c>
      <c r="C17" s="12">
        <f>IFERROR($B17/Assumptions!$B$5,0)</f>
        <v/>
      </c>
      <c r="D17" s="11" t="n">
        <v>18</v>
      </c>
      <c r="E17" s="12">
        <f>$D17*Assumptions!$B$5</f>
        <v/>
      </c>
      <c r="F17" s="13">
        <f>IFERROR($B17/$E17,0)</f>
        <v/>
      </c>
      <c r="G17" s="11" t="inlineStr">
        <is>
          <t>5 on 13 Nov</t>
        </is>
      </c>
    </row>
    <row r="18">
      <c r="A18" s="10" t="inlineStr">
        <is>
          <t>Vitor Fernandes</t>
        </is>
      </c>
      <c r="B18" s="12">
        <f>SUMIFS(Detail!$G$4:$G$146,Detail!$A$4:$A$146,$A$2,Detail!$B$4:$B$146,$A18)</f>
        <v/>
      </c>
      <c r="C18" s="12">
        <f>IFERROR($B18/Assumptions!$B$5,0)</f>
        <v/>
      </c>
      <c r="D18" s="11" t="n">
        <v>21</v>
      </c>
      <c r="E18" s="12">
        <f>$D18*Assumptions!$B$5</f>
        <v/>
      </c>
      <c r="F18" s="13">
        <f>IFERROR($B18/$E18,0)</f>
        <v/>
      </c>
      <c r="G18" s="11" t="inlineStr">
        <is>
          <t>5 on 11 Nov</t>
        </is>
      </c>
    </row>
    <row r="19">
      <c r="A19" s="10" t="inlineStr">
        <is>
          <t>Fabio Santos</t>
        </is>
      </c>
      <c r="B19" s="12">
        <f>SUMIFS(Detail!$G$4:$G$146,Detail!$A$4:$A$146,$A$2,Detail!$B$4:$B$146,$A19)</f>
        <v/>
      </c>
      <c r="C19" s="12">
        <f>IFERROR($B19/Assumptions!$B$5,0)</f>
        <v/>
      </c>
      <c r="D19" s="11" t="n">
        <v>21</v>
      </c>
      <c r="E19" s="12">
        <f>$D19*Assumptions!$B$5</f>
        <v/>
      </c>
      <c r="F19" s="13">
        <f>IFERROR($B19/$E19,0)</f>
        <v/>
      </c>
      <c r="G19" s="11" t="inlineStr">
        <is>
          <t>6 on 10 Nov</t>
        </is>
      </c>
    </row>
    <row r="20">
      <c r="A20" s="3" t="inlineStr">
        <is>
          <t>TOTAL</t>
        </is>
      </c>
      <c r="B20" s="15">
        <f>SUM(B16:B19)</f>
        <v/>
      </c>
      <c r="C20" s="15">
        <f>SUM(C16:C19)</f>
        <v/>
      </c>
      <c r="D20" s="15">
        <f>SUM(D16:D19)</f>
        <v/>
      </c>
      <c r="E20" s="15">
        <f>SUM(E16:E19)</f>
        <v/>
      </c>
      <c r="F20" s="16">
        <f>IFERROR($B20/$E20,0)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Platform Team 6 — WBSO hours, 2025-11</t>
        </is>
      </c>
    </row>
    <row r="2">
      <c r="A2" s="5" t="inlineStr">
        <is>
          <t>Platform Team 6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Venkata Mannam</t>
        </is>
      </c>
      <c r="B5" s="10" t="inlineStr">
        <is>
          <t>PT6-1419</t>
        </is>
      </c>
      <c r="C5" s="10" t="inlineStr">
        <is>
          <t>PT6-1419 Traefik migration V3</t>
        </is>
      </c>
      <c r="D5" s="12">
        <f>SUMIFS(Detail!$G$4:$G$146,Detail!$A$4:$A$146,$A$2,Detail!$B$4:$B$146,$A5,Detail!$C$4:$C$146,$B5)</f>
        <v/>
      </c>
    </row>
    <row r="6">
      <c r="A6" s="10" t="inlineStr">
        <is>
          <t>Venkata Mannam</t>
        </is>
      </c>
      <c r="B6" s="10" t="inlineStr">
        <is>
          <t>PT6-1710</t>
        </is>
      </c>
      <c r="C6" s="10" t="inlineStr">
        <is>
          <t xml:space="preserve">PT6-1710 K8s/Traefik Enhancements  </t>
        </is>
      </c>
      <c r="D6" s="12">
        <f>SUMIFS(Detail!$G$4:$G$146,Detail!$A$4:$A$146,$A$2,Detail!$B$4:$B$146,$A6,Detail!$C$4:$C$146,$B6)</f>
        <v/>
      </c>
    </row>
    <row r="7">
      <c r="A7" s="10" t="inlineStr">
        <is>
          <t>Iakovos Belonias</t>
        </is>
      </c>
      <c r="B7" s="10" t="inlineStr">
        <is>
          <t>PT6-1670</t>
        </is>
      </c>
      <c r="C7" s="10" t="inlineStr">
        <is>
          <t xml:space="preserve">PT6-1670 Multi region </t>
        </is>
      </c>
      <c r="D7" s="12">
        <f>SUMIFS(Detail!$G$4:$G$146,Detail!$A$4:$A$146,$A$2,Detail!$B$4:$B$146,$A7,Detail!$C$4:$C$146,$B7)</f>
        <v/>
      </c>
    </row>
    <row r="8">
      <c r="A8" s="10" t="inlineStr">
        <is>
          <t>Iakovos Belonias</t>
        </is>
      </c>
      <c r="B8" s="10" t="inlineStr">
        <is>
          <t>PT6-1710</t>
        </is>
      </c>
      <c r="C8" s="10" t="inlineStr">
        <is>
          <t xml:space="preserve">PT6-1710 K8s/Traefik Enhancements  </t>
        </is>
      </c>
      <c r="D8" s="12">
        <f>SUMIFS(Detail!$G$4:$G$146,Detail!$A$4:$A$146,$A$2,Detail!$B$4:$B$146,$A8,Detail!$C$4:$C$146,$B8)</f>
        <v/>
      </c>
    </row>
    <row r="9">
      <c r="A9" s="10" t="inlineStr">
        <is>
          <t>Elton Qevani</t>
        </is>
      </c>
      <c r="B9" s="10" t="inlineStr">
        <is>
          <t>PT6-1670</t>
        </is>
      </c>
      <c r="C9" s="10" t="inlineStr">
        <is>
          <t xml:space="preserve">PT6-1670 Multi region </t>
        </is>
      </c>
      <c r="D9" s="12">
        <f>SUMIFS(Detail!$G$4:$G$146,Detail!$A$4:$A$146,$A$2,Detail!$B$4:$B$146,$A9,Detail!$C$4:$C$146,$B9)</f>
        <v/>
      </c>
    </row>
    <row r="10">
      <c r="A10" s="10" t="inlineStr">
        <is>
          <t>Elton Qevani</t>
        </is>
      </c>
      <c r="B10" s="10" t="inlineStr">
        <is>
          <t>PT6-1911</t>
        </is>
      </c>
      <c r="C10" s="10" t="inlineStr">
        <is>
          <t>PT6-1911 Observability</t>
        </is>
      </c>
      <c r="D10" s="12">
        <f>SUMIFS(Detail!$G$4:$G$146,Detail!$A$4:$A$146,$A$2,Detail!$B$4:$B$146,$A10,Detail!$C$4:$C$146,$B10)</f>
        <v/>
      </c>
    </row>
    <row r="11">
      <c r="A11" s="10" t="inlineStr">
        <is>
          <t>Mete Han Karacüllü</t>
        </is>
      </c>
      <c r="B11" s="10" t="inlineStr">
        <is>
          <t>PT6-1670</t>
        </is>
      </c>
      <c r="C11" s="10" t="inlineStr">
        <is>
          <t xml:space="preserve">PT6-1670 Multi region </t>
        </is>
      </c>
      <c r="D11" s="12">
        <f>SUMIFS(Detail!$G$4:$G$146,Detail!$A$4:$A$146,$A$2,Detail!$B$4:$B$146,$A11,Detail!$C$4:$C$146,$B11)</f>
        <v/>
      </c>
    </row>
    <row r="12">
      <c r="A12" s="17" t="n"/>
      <c r="B12" s="17" t="n"/>
      <c r="C12" s="18" t="inlineStr">
        <is>
          <t>TEAM TOTAL</t>
        </is>
      </c>
      <c r="D12" s="19">
        <f>SUM(D5:D11)</f>
        <v/>
      </c>
    </row>
    <row r="15">
      <c r="A15" s="6" t="inlineStr">
        <is>
          <t>Per engineer</t>
        </is>
      </c>
    </row>
    <row r="16">
      <c r="A16" s="9" t="inlineStr">
        <is>
          <t>Engineer</t>
        </is>
      </c>
      <c r="B16" s="9" t="inlineStr">
        <is>
          <t>WBSO hours</t>
        </is>
      </c>
      <c r="C16" s="9" t="inlineStr">
        <is>
          <t>Day equivalent</t>
        </is>
      </c>
      <c r="D16" s="9" t="inlineStr">
        <is>
          <t>Active days</t>
        </is>
      </c>
      <c r="E16" s="9" t="inlineStr">
        <is>
          <t>Capacity hours</t>
        </is>
      </c>
      <c r="F16" s="9" t="inlineStr">
        <is>
          <t>WBSO share</t>
        </is>
      </c>
      <c r="G16" s="9" t="inlineStr">
        <is>
          <t>Peak tickets/day</t>
        </is>
      </c>
    </row>
    <row r="17">
      <c r="A17" s="10" t="inlineStr">
        <is>
          <t>Venkata Mannam</t>
        </is>
      </c>
      <c r="B17" s="12">
        <f>SUMIFS(Detail!$G$4:$G$146,Detail!$A$4:$A$146,$A$2,Detail!$B$4:$B$146,$A17)</f>
        <v/>
      </c>
      <c r="C17" s="12">
        <f>IFERROR($B17/Assumptions!$B$5,0)</f>
        <v/>
      </c>
      <c r="D17" s="11" t="n">
        <v>20</v>
      </c>
      <c r="E17" s="12">
        <f>$D17*Assumptions!$B$5</f>
        <v/>
      </c>
      <c r="F17" s="13">
        <f>IFERROR($B17/$E17,0)</f>
        <v/>
      </c>
      <c r="G17" s="11" t="inlineStr">
        <is>
          <t>5 on 18 Nov</t>
        </is>
      </c>
    </row>
    <row r="18">
      <c r="A18" s="10" t="inlineStr">
        <is>
          <t>Iakovos Belonias</t>
        </is>
      </c>
      <c r="B18" s="12">
        <f>SUMIFS(Detail!$G$4:$G$146,Detail!$A$4:$A$146,$A$2,Detail!$B$4:$B$146,$A18)</f>
        <v/>
      </c>
      <c r="C18" s="12">
        <f>IFERROR($B18/Assumptions!$B$5,0)</f>
        <v/>
      </c>
      <c r="D18" s="11" t="n">
        <v>21</v>
      </c>
      <c r="E18" s="12">
        <f>$D18*Assumptions!$B$5</f>
        <v/>
      </c>
      <c r="F18" s="13">
        <f>IFERROR($B18/$E18,0)</f>
        <v/>
      </c>
      <c r="G18" s="11" t="inlineStr">
        <is>
          <t>3 on 03 Nov</t>
        </is>
      </c>
    </row>
    <row r="19">
      <c r="A19" s="10" t="inlineStr">
        <is>
          <t>Elton Qevani</t>
        </is>
      </c>
      <c r="B19" s="12">
        <f>SUMIFS(Detail!$G$4:$G$146,Detail!$A$4:$A$146,$A$2,Detail!$B$4:$B$146,$A19)</f>
        <v/>
      </c>
      <c r="C19" s="12">
        <f>IFERROR($B19/Assumptions!$B$5,0)</f>
        <v/>
      </c>
      <c r="D19" s="11" t="n">
        <v>19</v>
      </c>
      <c r="E19" s="12">
        <f>$D19*Assumptions!$B$5</f>
        <v/>
      </c>
      <c r="F19" s="13">
        <f>IFERROR($B19/$E19,0)</f>
        <v/>
      </c>
      <c r="G19" s="11" t="inlineStr">
        <is>
          <t>2 on 04 Nov</t>
        </is>
      </c>
    </row>
    <row r="20">
      <c r="A20" s="10" t="inlineStr">
        <is>
          <t>Mete Han Karacüllü</t>
        </is>
      </c>
      <c r="B20" s="12">
        <f>SUMIFS(Detail!$G$4:$G$146,Detail!$A$4:$A$146,$A$2,Detail!$B$4:$B$146,$A20)</f>
        <v/>
      </c>
      <c r="C20" s="12">
        <f>IFERROR($B20/Assumptions!$B$5,0)</f>
        <v/>
      </c>
      <c r="D20" s="11" t="n">
        <v>20</v>
      </c>
      <c r="E20" s="12">
        <f>$D20*Assumptions!$B$5</f>
        <v/>
      </c>
      <c r="F20" s="13">
        <f>IFERROR($B20/$E20,0)</f>
        <v/>
      </c>
      <c r="G20" s="11" t="inlineStr">
        <is>
          <t>3 on 18 Nov</t>
        </is>
      </c>
    </row>
    <row r="21">
      <c r="A21" s="3" t="inlineStr">
        <is>
          <t>TOTAL</t>
        </is>
      </c>
      <c r="B21" s="15">
        <f>SUM(B17:B20)</f>
        <v/>
      </c>
      <c r="C21" s="15">
        <f>SUM(C17:C20)</f>
        <v/>
      </c>
      <c r="D21" s="15">
        <f>SUM(D17:D20)</f>
        <v/>
      </c>
      <c r="E21" s="15">
        <f>SUM(E17:E20)</f>
        <v/>
      </c>
      <c r="F21" s="16">
        <f>IFERROR($B21/$E21,0)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Horizon — WBSO hours, 2025-11</t>
        </is>
      </c>
    </row>
    <row r="2">
      <c r="A2" s="5" t="inlineStr">
        <is>
          <t>Team Horizon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Péter Veres</t>
        </is>
      </c>
      <c r="B5" s="10" t="inlineStr">
        <is>
          <t>SUK-5790</t>
        </is>
      </c>
      <c r="C5" s="10" t="inlineStr">
        <is>
          <t>SUK-5790 VOP Improvements  - 2025</t>
        </is>
      </c>
      <c r="D5" s="12">
        <f>SUMIFS(Detail!$G$4:$G$146,Detail!$A$4:$A$146,$A$2,Detail!$B$4:$B$146,$A5,Detail!$C$4:$C$146,$B5)</f>
        <v/>
      </c>
    </row>
    <row r="6">
      <c r="A6" s="10" t="inlineStr">
        <is>
          <t>Arpit Dahiya</t>
        </is>
      </c>
      <c r="B6" s="10" t="inlineStr">
        <is>
          <t>SUK-5790</t>
        </is>
      </c>
      <c r="C6" s="10" t="inlineStr">
        <is>
          <t>SUK-5790 VOP Improvements  - 2025</t>
        </is>
      </c>
      <c r="D6" s="12">
        <f>SUMIFS(Detail!$G$4:$G$146,Detail!$A$4:$A$146,$A$2,Detail!$B$4:$B$146,$A6,Detail!$C$4:$C$146,$B6)</f>
        <v/>
      </c>
    </row>
    <row r="7">
      <c r="A7" s="10" t="inlineStr">
        <is>
          <t>Ryan Shepherd</t>
        </is>
      </c>
      <c r="B7" s="10" t="inlineStr">
        <is>
          <t>SUK-5790</t>
        </is>
      </c>
      <c r="C7" s="10" t="inlineStr">
        <is>
          <t>SUK-5790 VOP Improvements  - 2025</t>
        </is>
      </c>
      <c r="D7" s="12">
        <f>SUMIFS(Detail!$G$4:$G$146,Detail!$A$4:$A$146,$A$2,Detail!$B$4:$B$146,$A7,Detail!$C$4:$C$146,$B7)</f>
        <v/>
      </c>
    </row>
    <row r="8">
      <c r="A8" s="10" t="inlineStr">
        <is>
          <t>veronica.hvaal</t>
        </is>
      </c>
      <c r="B8" s="10" t="inlineStr">
        <is>
          <t>SUK-5751</t>
        </is>
      </c>
      <c r="C8" s="10" t="inlineStr">
        <is>
          <t xml:space="preserve">SUK-5751 VOP Multi Region </t>
        </is>
      </c>
      <c r="D8" s="12">
        <f>SUMIFS(Detail!$G$4:$G$146,Detail!$A$4:$A$146,$A$2,Detail!$B$4:$B$146,$A8,Detail!$C$4:$C$146,$B8)</f>
        <v/>
      </c>
    </row>
    <row r="9">
      <c r="A9" s="10" t="inlineStr">
        <is>
          <t>veronica.hvaal</t>
        </is>
      </c>
      <c r="B9" s="10" t="inlineStr">
        <is>
          <t>SUK-5790</t>
        </is>
      </c>
      <c r="C9" s="10" t="inlineStr">
        <is>
          <t>SUK-5790 VOP Improvements  - 2025</t>
        </is>
      </c>
      <c r="D9" s="12">
        <f>SUMIFS(Detail!$G$4:$G$146,Detail!$A$4:$A$146,$A$2,Detail!$B$4:$B$146,$A9,Detail!$C$4:$C$146,$B9)</f>
        <v/>
      </c>
    </row>
    <row r="10">
      <c r="A10" s="10" t="inlineStr">
        <is>
          <t>Adorjan Fritz</t>
        </is>
      </c>
      <c r="B10" s="10" t="inlineStr">
        <is>
          <t>SUK-5751</t>
        </is>
      </c>
      <c r="C10" s="10" t="inlineStr">
        <is>
          <t xml:space="preserve">SUK-5751 VOP Multi Region </t>
        </is>
      </c>
      <c r="D10" s="12">
        <f>SUMIFS(Detail!$G$4:$G$146,Detail!$A$4:$A$146,$A$2,Detail!$B$4:$B$146,$A10,Detail!$C$4:$C$146,$B10)</f>
        <v/>
      </c>
    </row>
    <row r="11">
      <c r="A11" s="10" t="inlineStr">
        <is>
          <t>Adorjan Fritz</t>
        </is>
      </c>
      <c r="B11" s="10" t="inlineStr">
        <is>
          <t>SUK-5790</t>
        </is>
      </c>
      <c r="C11" s="10" t="inlineStr">
        <is>
          <t>SUK-5790 VOP Improvements  - 2025</t>
        </is>
      </c>
      <c r="D11" s="12">
        <f>SUMIFS(Detail!$G$4:$G$146,Detail!$A$4:$A$146,$A$2,Detail!$B$4:$B$146,$A11,Detail!$C$4:$C$146,$B11)</f>
        <v/>
      </c>
    </row>
    <row r="12">
      <c r="A12" s="10" t="inlineStr">
        <is>
          <t>Julian Mulder</t>
        </is>
      </c>
      <c r="B12" s="10" t="inlineStr">
        <is>
          <t>SUK-5790</t>
        </is>
      </c>
      <c r="C12" s="10" t="inlineStr">
        <is>
          <t>SUK-5790 VOP Improvements  - 2025</t>
        </is>
      </c>
      <c r="D12" s="12">
        <f>SUMIFS(Detail!$G$4:$G$146,Detail!$A$4:$A$146,$A$2,Detail!$B$4:$B$146,$A12,Detail!$C$4:$C$146,$B12)</f>
        <v/>
      </c>
    </row>
    <row r="13">
      <c r="A13" s="10" t="inlineStr">
        <is>
          <t>Prabhukiran Narava</t>
        </is>
      </c>
      <c r="B13" s="10" t="inlineStr">
        <is>
          <t>SUK-5790</t>
        </is>
      </c>
      <c r="C13" s="10" t="inlineStr">
        <is>
          <t>SUK-5790 VOP Improvements  - 2025</t>
        </is>
      </c>
      <c r="D13" s="12">
        <f>SUMIFS(Detail!$G$4:$G$146,Detail!$A$4:$A$146,$A$2,Detail!$B$4:$B$146,$A13,Detail!$C$4:$C$146,$B13)</f>
        <v/>
      </c>
    </row>
    <row r="14">
      <c r="A14" s="10" t="inlineStr">
        <is>
          <t>Nikolay Antonov</t>
        </is>
      </c>
      <c r="B14" s="10" t="inlineStr">
        <is>
          <t>SUK-5790</t>
        </is>
      </c>
      <c r="C14" s="10" t="inlineStr">
        <is>
          <t>SUK-5790 VOP Improvements  - 2025</t>
        </is>
      </c>
      <c r="D14" s="12">
        <f>SUMIFS(Detail!$G$4:$G$146,Detail!$A$4:$A$146,$A$2,Detail!$B$4:$B$146,$A14,Detail!$C$4:$C$146,$B14)</f>
        <v/>
      </c>
    </row>
    <row r="15">
      <c r="A15" s="17" t="n"/>
      <c r="B15" s="17" t="n"/>
      <c r="C15" s="18" t="inlineStr">
        <is>
          <t>TEAM TOTAL</t>
        </is>
      </c>
      <c r="D15" s="19">
        <f>SUM(D5:D14)</f>
        <v/>
      </c>
    </row>
    <row r="18">
      <c r="A18" s="6" t="inlineStr">
        <is>
          <t>Per engineer</t>
        </is>
      </c>
    </row>
    <row r="19">
      <c r="A19" s="9" t="inlineStr">
        <is>
          <t>Engineer</t>
        </is>
      </c>
      <c r="B19" s="9" t="inlineStr">
        <is>
          <t>WBSO hours</t>
        </is>
      </c>
      <c r="C19" s="9" t="inlineStr">
        <is>
          <t>Day equivalent</t>
        </is>
      </c>
      <c r="D19" s="9" t="inlineStr">
        <is>
          <t>Active days</t>
        </is>
      </c>
      <c r="E19" s="9" t="inlineStr">
        <is>
          <t>Capacity hours</t>
        </is>
      </c>
      <c r="F19" s="9" t="inlineStr">
        <is>
          <t>WBSO share</t>
        </is>
      </c>
      <c r="G19" s="9" t="inlineStr">
        <is>
          <t>Peak tickets/day</t>
        </is>
      </c>
    </row>
    <row r="20">
      <c r="A20" s="10" t="inlineStr">
        <is>
          <t>Péter Veres</t>
        </is>
      </c>
      <c r="B20" s="12">
        <f>SUMIFS(Detail!$G$4:$G$146,Detail!$A$4:$A$146,$A$2,Detail!$B$4:$B$146,$A20)</f>
        <v/>
      </c>
      <c r="C20" s="12">
        <f>IFERROR($B20/Assumptions!$B$5,0)</f>
        <v/>
      </c>
      <c r="D20" s="11" t="n">
        <v>15</v>
      </c>
      <c r="E20" s="12">
        <f>$D20*Assumptions!$B$5</f>
        <v/>
      </c>
      <c r="F20" s="13">
        <f>IFERROR($B20/$E20,0)</f>
        <v/>
      </c>
      <c r="G20" s="11" t="inlineStr">
        <is>
          <t>3 on 03 Nov</t>
        </is>
      </c>
    </row>
    <row r="21">
      <c r="A21" s="10" t="inlineStr">
        <is>
          <t>Arpit Dahiya</t>
        </is>
      </c>
      <c r="B21" s="12">
        <f>SUMIFS(Detail!$G$4:$G$146,Detail!$A$4:$A$146,$A$2,Detail!$B$4:$B$146,$A21)</f>
        <v/>
      </c>
      <c r="C21" s="12">
        <f>IFERROR($B21/Assumptions!$B$5,0)</f>
        <v/>
      </c>
      <c r="D21" s="11" t="n">
        <v>18</v>
      </c>
      <c r="E21" s="12">
        <f>$D21*Assumptions!$B$5</f>
        <v/>
      </c>
      <c r="F21" s="13">
        <f>IFERROR($B21/$E21,0)</f>
        <v/>
      </c>
      <c r="G21" s="11" t="inlineStr">
        <is>
          <t>2 on 04 Nov</t>
        </is>
      </c>
    </row>
    <row r="22">
      <c r="A22" s="10" t="inlineStr">
        <is>
          <t>Ryan Shepherd</t>
        </is>
      </c>
      <c r="B22" s="12">
        <f>SUMIFS(Detail!$G$4:$G$146,Detail!$A$4:$A$146,$A$2,Detail!$B$4:$B$146,$A22)</f>
        <v/>
      </c>
      <c r="C22" s="12">
        <f>IFERROR($B22/Assumptions!$B$5,0)</f>
        <v/>
      </c>
      <c r="D22" s="11" t="n">
        <v>21</v>
      </c>
      <c r="E22" s="12">
        <f>$D22*Assumptions!$B$5</f>
        <v/>
      </c>
      <c r="F22" s="13">
        <f>IFERROR($B22/$E22,0)</f>
        <v/>
      </c>
      <c r="G22" s="11" t="inlineStr">
        <is>
          <t>3 on 17 Nov</t>
        </is>
      </c>
    </row>
    <row r="23">
      <c r="A23" s="10" t="inlineStr">
        <is>
          <t>veronica.hvaal</t>
        </is>
      </c>
      <c r="B23" s="12">
        <f>SUMIFS(Detail!$G$4:$G$146,Detail!$A$4:$A$146,$A$2,Detail!$B$4:$B$146,$A23)</f>
        <v/>
      </c>
      <c r="C23" s="12">
        <f>IFERROR($B23/Assumptions!$B$5,0)</f>
        <v/>
      </c>
      <c r="D23" s="11" t="n">
        <v>16</v>
      </c>
      <c r="E23" s="12">
        <f>$D23*Assumptions!$B$5</f>
        <v/>
      </c>
      <c r="F23" s="13">
        <f>IFERROR($B23/$E23,0)</f>
        <v/>
      </c>
      <c r="G23" s="11" t="inlineStr">
        <is>
          <t>2 on 14 Nov</t>
        </is>
      </c>
    </row>
    <row r="24">
      <c r="A24" s="10" t="inlineStr">
        <is>
          <t>Adorjan Fritz</t>
        </is>
      </c>
      <c r="B24" s="12">
        <f>SUMIFS(Detail!$G$4:$G$146,Detail!$A$4:$A$146,$A$2,Detail!$B$4:$B$146,$A24)</f>
        <v/>
      </c>
      <c r="C24" s="12">
        <f>IFERROR($B24/Assumptions!$B$5,0)</f>
        <v/>
      </c>
      <c r="D24" s="11" t="n">
        <v>21</v>
      </c>
      <c r="E24" s="12">
        <f>$D24*Assumptions!$B$5</f>
        <v/>
      </c>
      <c r="F24" s="13">
        <f>IFERROR($B24/$E24,0)</f>
        <v/>
      </c>
      <c r="G24" s="11" t="inlineStr">
        <is>
          <t>5 on 03 Nov</t>
        </is>
      </c>
    </row>
    <row r="25">
      <c r="A25" s="10" t="inlineStr">
        <is>
          <t>Julian Mulder</t>
        </is>
      </c>
      <c r="B25" s="12">
        <f>SUMIFS(Detail!$G$4:$G$146,Detail!$A$4:$A$146,$A$2,Detail!$B$4:$B$146,$A25)</f>
        <v/>
      </c>
      <c r="C25" s="12">
        <f>IFERROR($B25/Assumptions!$B$5,0)</f>
        <v/>
      </c>
      <c r="D25" s="11" t="n">
        <v>17</v>
      </c>
      <c r="E25" s="12">
        <f>$D25*Assumptions!$B$5</f>
        <v/>
      </c>
      <c r="F25" s="13">
        <f>IFERROR($B25/$E25,0)</f>
        <v/>
      </c>
      <c r="G25" s="11" t="inlineStr">
        <is>
          <t>5 on 07 Nov</t>
        </is>
      </c>
    </row>
    <row r="26">
      <c r="A26" s="10" t="inlineStr">
        <is>
          <t>Prabhukiran Narava</t>
        </is>
      </c>
      <c r="B26" s="12">
        <f>SUMIFS(Detail!$G$4:$G$146,Detail!$A$4:$A$146,$A$2,Detail!$B$4:$B$146,$A26)</f>
        <v/>
      </c>
      <c r="C26" s="12">
        <f>IFERROR($B26/Assumptions!$B$5,0)</f>
        <v/>
      </c>
      <c r="D26" s="11" t="n">
        <v>20</v>
      </c>
      <c r="E26" s="12">
        <f>$D26*Assumptions!$B$5</f>
        <v/>
      </c>
      <c r="F26" s="13">
        <f>IFERROR($B26/$E26,0)</f>
        <v/>
      </c>
      <c r="G26" s="11" t="inlineStr">
        <is>
          <t>6 on 11 Nov</t>
        </is>
      </c>
    </row>
    <row r="27">
      <c r="A27" s="10" t="inlineStr">
        <is>
          <t>Nikolay Antonov</t>
        </is>
      </c>
      <c r="B27" s="12">
        <f>SUMIFS(Detail!$G$4:$G$146,Detail!$A$4:$A$146,$A$2,Detail!$B$4:$B$146,$A27)</f>
        <v/>
      </c>
      <c r="C27" s="12">
        <f>IFERROR($B27/Assumptions!$B$5,0)</f>
        <v/>
      </c>
      <c r="D27" s="11" t="n">
        <v>21</v>
      </c>
      <c r="E27" s="12">
        <f>$D27*Assumptions!$B$5</f>
        <v/>
      </c>
      <c r="F27" s="13">
        <f>IFERROR($B27/$E27,0)</f>
        <v/>
      </c>
      <c r="G27" s="11" t="inlineStr">
        <is>
          <t>7 on 25 Nov</t>
        </is>
      </c>
    </row>
    <row r="28">
      <c r="A28" s="3" t="inlineStr">
        <is>
          <t>TOTAL</t>
        </is>
      </c>
      <c r="B28" s="15">
        <f>SUM(B20:B27)</f>
        <v/>
      </c>
      <c r="C28" s="15">
        <f>SUM(C20:C27)</f>
        <v/>
      </c>
      <c r="D28" s="15">
        <f>SUM(D20:D27)</f>
        <v/>
      </c>
      <c r="E28" s="15">
        <f>SUM(E20:E27)</f>
        <v/>
      </c>
      <c r="F28" s="16">
        <f>IFERROR($B28/$E28,0)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Ikigai — WBSO hours, 2025-11</t>
        </is>
      </c>
    </row>
    <row r="2">
      <c r="A2" s="5" t="inlineStr">
        <is>
          <t>Team Ikigai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Diego Silva</t>
        </is>
      </c>
      <c r="B5" s="10" t="inlineStr">
        <is>
          <t>SPD-2749</t>
        </is>
      </c>
      <c r="C5" s="10" t="inlineStr">
        <is>
          <t>SPD-2749 VoP Data Hosting Ingester v1</t>
        </is>
      </c>
      <c r="D5" s="12">
        <f>SUMIFS(Detail!$G$4:$G$146,Detail!$A$4:$A$146,$A$2,Detail!$B$4:$B$146,$A5,Detail!$C$4:$C$146,$B5)</f>
        <v/>
      </c>
    </row>
    <row r="6">
      <c r="A6" s="10" t="inlineStr">
        <is>
          <t>borys.rudenko</t>
        </is>
      </c>
      <c r="B6" s="10" t="inlineStr">
        <is>
          <t>SDO-7745</t>
        </is>
      </c>
      <c r="C6" s="10" t="inlineStr">
        <is>
          <t>SDO-7745 UnstructuredRemittanceInformation</t>
        </is>
      </c>
      <c r="D6" s="12">
        <f>SUMIFS(Detail!$G$4:$G$146,Detail!$A$4:$A$146,$A$2,Detail!$B$4:$B$146,$A6,Detail!$C$4:$C$146,$B6)</f>
        <v/>
      </c>
    </row>
    <row r="7">
      <c r="A7" s="10" t="inlineStr">
        <is>
          <t>borys.rudenko</t>
        </is>
      </c>
      <c r="B7" s="10" t="inlineStr">
        <is>
          <t>SPD-3381</t>
        </is>
      </c>
      <c r="C7" s="10" t="inlineStr">
        <is>
          <t>SPD-3381 Multi Region</t>
        </is>
      </c>
      <c r="D7" s="12">
        <f>SUMIFS(Detail!$G$4:$G$146,Detail!$A$4:$A$146,$A$2,Detail!$B$4:$B$146,$A7,Detail!$C$4:$C$146,$B7)</f>
        <v/>
      </c>
    </row>
    <row r="8">
      <c r="A8" s="10" t="inlineStr">
        <is>
          <t>Chaitanya Sagi</t>
        </is>
      </c>
      <c r="B8" s="10" t="inlineStr">
        <is>
          <t>SPD-3381</t>
        </is>
      </c>
      <c r="C8" s="10" t="inlineStr">
        <is>
          <t>SPD-3381 Multi Region</t>
        </is>
      </c>
      <c r="D8" s="12">
        <f>SUMIFS(Detail!$G$4:$G$146,Detail!$A$4:$A$146,$A$2,Detail!$B$4:$B$146,$A8,Detail!$C$4:$C$146,$B8)</f>
        <v/>
      </c>
    </row>
    <row r="9">
      <c r="A9" s="10" t="inlineStr">
        <is>
          <t>Keerthi Shankar</t>
        </is>
      </c>
      <c r="B9" s="10" t="inlineStr">
        <is>
          <t>SPD-3341</t>
        </is>
      </c>
      <c r="C9" s="10" t="inlineStr">
        <is>
          <t>SPD-3341 VoP Data Hosting</t>
        </is>
      </c>
      <c r="D9" s="12">
        <f>SUMIFS(Detail!$G$4:$G$146,Detail!$A$4:$A$146,$A$2,Detail!$B$4:$B$146,$A9,Detail!$C$4:$C$146,$B9)</f>
        <v/>
      </c>
    </row>
    <row r="10">
      <c r="A10" s="10" t="inlineStr">
        <is>
          <t>Keerthi Shankar</t>
        </is>
      </c>
      <c r="B10" s="10" t="inlineStr">
        <is>
          <t>SPD-3368</t>
        </is>
      </c>
      <c r="C10" s="10" t="inlineStr">
        <is>
          <t>SPD-3368 VoP Bulk Checker v1.1</t>
        </is>
      </c>
      <c r="D10" s="12">
        <f>SUMIFS(Detail!$G$4:$G$146,Detail!$A$4:$A$146,$A$2,Detail!$B$4:$B$146,$A10,Detail!$C$4:$C$146,$B10)</f>
        <v/>
      </c>
    </row>
    <row r="11">
      <c r="A11" s="10" t="inlineStr">
        <is>
          <t>Keerthi Shankar</t>
        </is>
      </c>
      <c r="B11" s="10" t="inlineStr">
        <is>
          <t>SPD-3381</t>
        </is>
      </c>
      <c r="C11" s="10" t="inlineStr">
        <is>
          <t>SPD-3381 Multi Region</t>
        </is>
      </c>
      <c r="D11" s="12">
        <f>SUMIFS(Detail!$G$4:$G$146,Detail!$A$4:$A$146,$A$2,Detail!$B$4:$B$146,$A11,Detail!$C$4:$C$146,$B11)</f>
        <v/>
      </c>
    </row>
    <row r="12">
      <c r="A12" s="10" t="inlineStr">
        <is>
          <t>Gerard Veldman</t>
        </is>
      </c>
      <c r="B12" s="10" t="inlineStr">
        <is>
          <t>SPD-3236</t>
        </is>
      </c>
      <c r="C12" s="10" t="inlineStr">
        <is>
          <t>SPD-3236 VoP Bulk Checker performance improvement</t>
        </is>
      </c>
      <c r="D12" s="12">
        <f>SUMIFS(Detail!$G$4:$G$146,Detail!$A$4:$A$146,$A$2,Detail!$B$4:$B$146,$A12,Detail!$C$4:$C$146,$B12)</f>
        <v/>
      </c>
    </row>
    <row r="13">
      <c r="A13" s="10" t="inlineStr">
        <is>
          <t>Gerard Veldman</t>
        </is>
      </c>
      <c r="B13" s="10" t="inlineStr">
        <is>
          <t>SPD-3368</t>
        </is>
      </c>
      <c r="C13" s="10" t="inlineStr">
        <is>
          <t>SPD-3368 VoP Bulk Checker v1.1</t>
        </is>
      </c>
      <c r="D13" s="12">
        <f>SUMIFS(Detail!$G$4:$G$146,Detail!$A$4:$A$146,$A$2,Detail!$B$4:$B$146,$A13,Detail!$C$4:$C$146,$B13)</f>
        <v/>
      </c>
    </row>
    <row r="14">
      <c r="A14" s="10" t="inlineStr">
        <is>
          <t>Gerard Veldman</t>
        </is>
      </c>
      <c r="B14" s="10" t="inlineStr">
        <is>
          <t>SPD-3381</t>
        </is>
      </c>
      <c r="C14" s="10" t="inlineStr">
        <is>
          <t>SPD-3381 Multi Region</t>
        </is>
      </c>
      <c r="D14" s="12">
        <f>SUMIFS(Detail!$G$4:$G$146,Detail!$A$4:$A$146,$A$2,Detail!$B$4:$B$146,$A14,Detail!$C$4:$C$146,$B14)</f>
        <v/>
      </c>
    </row>
    <row r="15">
      <c r="A15" s="10" t="inlineStr">
        <is>
          <t>Juanma Tastzian</t>
        </is>
      </c>
      <c r="B15" s="10" t="inlineStr">
        <is>
          <t>SDO-7526</t>
        </is>
      </c>
      <c r="C15" s="10" t="inlineStr">
        <is>
          <t>SDO-7526 VOP Algorithm Improvements</t>
        </is>
      </c>
      <c r="D15" s="12">
        <f>SUMIFS(Detail!$G$4:$G$146,Detail!$A$4:$A$146,$A$2,Detail!$B$4:$B$146,$A15,Detail!$C$4:$C$146,$B15)</f>
        <v/>
      </c>
    </row>
    <row r="16">
      <c r="A16" s="17" t="n"/>
      <c r="B16" s="17" t="n"/>
      <c r="C16" s="18" t="inlineStr">
        <is>
          <t>TEAM TOTAL</t>
        </is>
      </c>
      <c r="D16" s="19">
        <f>SUM(D5:D15)</f>
        <v/>
      </c>
    </row>
    <row r="19">
      <c r="A19" s="6" t="inlineStr">
        <is>
          <t>Per engineer</t>
        </is>
      </c>
    </row>
    <row r="20">
      <c r="A20" s="9" t="inlineStr">
        <is>
          <t>Engineer</t>
        </is>
      </c>
      <c r="B20" s="9" t="inlineStr">
        <is>
          <t>WBSO hours</t>
        </is>
      </c>
      <c r="C20" s="9" t="inlineStr">
        <is>
          <t>Day equivalent</t>
        </is>
      </c>
      <c r="D20" s="9" t="inlineStr">
        <is>
          <t>Active days</t>
        </is>
      </c>
      <c r="E20" s="9" t="inlineStr">
        <is>
          <t>Capacity hours</t>
        </is>
      </c>
      <c r="F20" s="9" t="inlineStr">
        <is>
          <t>WBSO share</t>
        </is>
      </c>
      <c r="G20" s="9" t="inlineStr">
        <is>
          <t>Peak tickets/day</t>
        </is>
      </c>
    </row>
    <row r="21">
      <c r="A21" s="10" t="inlineStr">
        <is>
          <t>Diego Silva</t>
        </is>
      </c>
      <c r="B21" s="12">
        <f>SUMIFS(Detail!$G$4:$G$146,Detail!$A$4:$A$146,$A$2,Detail!$B$4:$B$146,$A21)</f>
        <v/>
      </c>
      <c r="C21" s="12">
        <f>IFERROR($B21/Assumptions!$B$5,0)</f>
        <v/>
      </c>
      <c r="D21" s="11" t="n">
        <v>20</v>
      </c>
      <c r="E21" s="12">
        <f>$D21*Assumptions!$B$5</f>
        <v/>
      </c>
      <c r="F21" s="13">
        <f>IFERROR($B21/$E21,0)</f>
        <v/>
      </c>
      <c r="G21" s="11" t="inlineStr">
        <is>
          <t>1 on 03 Nov</t>
        </is>
      </c>
    </row>
    <row r="22">
      <c r="A22" s="10" t="inlineStr">
        <is>
          <t>borys.rudenko</t>
        </is>
      </c>
      <c r="B22" s="12">
        <f>SUMIFS(Detail!$G$4:$G$146,Detail!$A$4:$A$146,$A$2,Detail!$B$4:$B$146,$A22)</f>
        <v/>
      </c>
      <c r="C22" s="12">
        <f>IFERROR($B22/Assumptions!$B$5,0)</f>
        <v/>
      </c>
      <c r="D22" s="11" t="n">
        <v>20</v>
      </c>
      <c r="E22" s="12">
        <f>$D22*Assumptions!$B$5</f>
        <v/>
      </c>
      <c r="F22" s="13">
        <f>IFERROR($B22/$E22,0)</f>
        <v/>
      </c>
      <c r="G22" s="11" t="inlineStr">
        <is>
          <t>6 on 11 Nov</t>
        </is>
      </c>
    </row>
    <row r="23">
      <c r="A23" s="10" t="inlineStr">
        <is>
          <t>Chaitanya Sagi</t>
        </is>
      </c>
      <c r="B23" s="12">
        <f>SUMIFS(Detail!$G$4:$G$146,Detail!$A$4:$A$146,$A$2,Detail!$B$4:$B$146,$A23)</f>
        <v/>
      </c>
      <c r="C23" s="12">
        <f>IFERROR($B23/Assumptions!$B$5,0)</f>
        <v/>
      </c>
      <c r="D23" s="11" t="n">
        <v>19</v>
      </c>
      <c r="E23" s="12">
        <f>$D23*Assumptions!$B$5</f>
        <v/>
      </c>
      <c r="F23" s="13">
        <f>IFERROR($B23/$E23,0)</f>
        <v/>
      </c>
      <c r="G23" s="11" t="inlineStr">
        <is>
          <t>3 on 03 Nov</t>
        </is>
      </c>
    </row>
    <row r="24">
      <c r="A24" s="10" t="inlineStr">
        <is>
          <t>Keerthi Shankar</t>
        </is>
      </c>
      <c r="B24" s="12">
        <f>SUMIFS(Detail!$G$4:$G$146,Detail!$A$4:$A$146,$A$2,Detail!$B$4:$B$146,$A24)</f>
        <v/>
      </c>
      <c r="C24" s="12">
        <f>IFERROR($B24/Assumptions!$B$5,0)</f>
        <v/>
      </c>
      <c r="D24" s="11" t="n">
        <v>18</v>
      </c>
      <c r="E24" s="12">
        <f>$D24*Assumptions!$B$5</f>
        <v/>
      </c>
      <c r="F24" s="13">
        <f>IFERROR($B24/$E24,0)</f>
        <v/>
      </c>
      <c r="G24" s="11" t="inlineStr">
        <is>
          <t>4 on 05 Nov</t>
        </is>
      </c>
    </row>
    <row r="25">
      <c r="A25" s="10" t="inlineStr">
        <is>
          <t>Gerard Veldman</t>
        </is>
      </c>
      <c r="B25" s="12">
        <f>SUMIFS(Detail!$G$4:$G$146,Detail!$A$4:$A$146,$A$2,Detail!$B$4:$B$146,$A25)</f>
        <v/>
      </c>
      <c r="C25" s="12">
        <f>IFERROR($B25/Assumptions!$B$5,0)</f>
        <v/>
      </c>
      <c r="D25" s="11" t="n">
        <v>21</v>
      </c>
      <c r="E25" s="12">
        <f>$D25*Assumptions!$B$5</f>
        <v/>
      </c>
      <c r="F25" s="13">
        <f>IFERROR($B25/$E25,0)</f>
        <v/>
      </c>
      <c r="G25" s="11" t="inlineStr">
        <is>
          <t>7 on 24 Nov</t>
        </is>
      </c>
    </row>
    <row r="26">
      <c r="A26" s="10" t="inlineStr">
        <is>
          <t>Juanma Tastzian</t>
        </is>
      </c>
      <c r="B26" s="12">
        <f>SUMIFS(Detail!$G$4:$G$146,Detail!$A$4:$A$146,$A$2,Detail!$B$4:$B$146,$A26)</f>
        <v/>
      </c>
      <c r="C26" s="12">
        <f>IFERROR($B26/Assumptions!$B$5,0)</f>
        <v/>
      </c>
      <c r="D26" s="11" t="n">
        <v>13</v>
      </c>
      <c r="E26" s="12">
        <f>$D26*Assumptions!$B$5</f>
        <v/>
      </c>
      <c r="F26" s="13">
        <f>IFERROR($B26/$E26,0)</f>
        <v/>
      </c>
      <c r="G26" s="11" t="inlineStr">
        <is>
          <t>1 on 06 Nov</t>
        </is>
      </c>
    </row>
    <row r="27">
      <c r="A27" s="3" t="inlineStr">
        <is>
          <t>TOTAL</t>
        </is>
      </c>
      <c r="B27" s="15">
        <f>SUM(B21:B26)</f>
        <v/>
      </c>
      <c r="C27" s="15">
        <f>SUM(C21:C26)</f>
        <v/>
      </c>
      <c r="D27" s="15">
        <f>SUM(D21:D26)</f>
        <v/>
      </c>
      <c r="E27" s="15">
        <f>SUM(E21:E26)</f>
        <v/>
      </c>
      <c r="F27" s="16">
        <f>IFERROR($B27/$E27,0)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Samba — WBSO hours, 2025-11</t>
        </is>
      </c>
    </row>
    <row r="2">
      <c r="A2" s="5" t="inlineStr">
        <is>
          <t>Team Samba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Ioannis Argyroulis</t>
        </is>
      </c>
      <c r="B5" s="10" t="inlineStr">
        <is>
          <t>SDO-7526</t>
        </is>
      </c>
      <c r="C5" s="10" t="inlineStr">
        <is>
          <t>SDO-7526 VOP Algorithm Improvements</t>
        </is>
      </c>
      <c r="D5" s="12">
        <f>SUMIFS(Detail!$G$4:$G$146,Detail!$A$4:$A$146,$A$2,Detail!$B$4:$B$146,$A5,Detail!$C$4:$C$146,$B5)</f>
        <v/>
      </c>
    </row>
    <row r="6">
      <c r="A6" s="10" t="inlineStr">
        <is>
          <t>Ioannis Argyroulis</t>
        </is>
      </c>
      <c r="B6" s="10" t="inlineStr">
        <is>
          <t>SDO-8067</t>
        </is>
      </c>
      <c r="C6" s="10" t="inlineStr">
        <is>
          <t>SDO-8067 Swift outbound v3</t>
        </is>
      </c>
      <c r="D6" s="12">
        <f>SUMIFS(Detail!$G$4:$G$146,Detail!$A$4:$A$146,$A$2,Detail!$B$4:$B$146,$A6,Detail!$C$4:$C$146,$B6)</f>
        <v/>
      </c>
    </row>
    <row r="7">
      <c r="A7" s="10" t="inlineStr">
        <is>
          <t>Muhammad Sulaiman</t>
        </is>
      </c>
      <c r="B7" s="10" t="inlineStr">
        <is>
          <t>SDO-5021</t>
        </is>
      </c>
      <c r="C7" s="10" t="inlineStr">
        <is>
          <t xml:space="preserve">SDO-5021 Service Improvements </t>
        </is>
      </c>
      <c r="D7" s="12">
        <f>SUMIFS(Detail!$G$4:$G$146,Detail!$A$4:$A$146,$A$2,Detail!$B$4:$B$146,$A7,Detail!$C$4:$C$146,$B7)</f>
        <v/>
      </c>
    </row>
    <row r="8">
      <c r="A8" s="10" t="inlineStr">
        <is>
          <t>Muhammad Sulaiman</t>
        </is>
      </c>
      <c r="B8" s="10" t="inlineStr">
        <is>
          <t>SDO-7680</t>
        </is>
      </c>
      <c r="C8" s="10" t="inlineStr">
        <is>
          <t>SDO-7680 Multi region</t>
        </is>
      </c>
      <c r="D8" s="12">
        <f>SUMIFS(Detail!$G$4:$G$146,Detail!$A$4:$A$146,$A$2,Detail!$B$4:$B$146,$A8,Detail!$C$4:$C$146,$B8)</f>
        <v/>
      </c>
    </row>
    <row r="9">
      <c r="A9" s="10" t="inlineStr">
        <is>
          <t>Orwa Badran</t>
        </is>
      </c>
      <c r="B9" s="10" t="inlineStr">
        <is>
          <t>SDO-7634</t>
        </is>
      </c>
      <c r="C9" s="10" t="inlineStr">
        <is>
          <t>SDO-7634 BIC Enrichment</t>
        </is>
      </c>
      <c r="D9" s="12">
        <f>SUMIFS(Detail!$G$4:$G$146,Detail!$A$4:$A$146,$A$2,Detail!$B$4:$B$146,$A9,Detail!$C$4:$C$146,$B9)</f>
        <v/>
      </c>
    </row>
    <row r="10">
      <c r="A10" s="10" t="inlineStr">
        <is>
          <t>Orwa Badran</t>
        </is>
      </c>
      <c r="B10" s="10" t="inlineStr">
        <is>
          <t>SDO-7745</t>
        </is>
      </c>
      <c r="C10" s="10" t="inlineStr">
        <is>
          <t>SDO-7745 UnstructuredRemittanceInformation</t>
        </is>
      </c>
      <c r="D10" s="12">
        <f>SUMIFS(Detail!$G$4:$G$146,Detail!$A$4:$A$146,$A$2,Detail!$B$4:$B$146,$A10,Detail!$C$4:$C$146,$B10)</f>
        <v/>
      </c>
    </row>
    <row r="11">
      <c r="A11" s="10" t="inlineStr">
        <is>
          <t>Orwa Badran</t>
        </is>
      </c>
      <c r="B11" s="10" t="inlineStr">
        <is>
          <t>SDO-7982</t>
        </is>
      </c>
      <c r="C11" s="10" t="inlineStr">
        <is>
          <t>SDO-7982 Samba Observability</t>
        </is>
      </c>
      <c r="D11" s="12">
        <f>SUMIFS(Detail!$G$4:$G$146,Detail!$A$4:$A$146,$A$2,Detail!$B$4:$B$146,$A11,Detail!$C$4:$C$146,$B11)</f>
        <v/>
      </c>
    </row>
    <row r="12">
      <c r="A12" s="10" t="inlineStr">
        <is>
          <t>Sheik Farzand Razi</t>
        </is>
      </c>
      <c r="B12" s="10" t="inlineStr">
        <is>
          <t>SDO-4324</t>
        </is>
      </c>
      <c r="C12" s="10" t="inlineStr">
        <is>
          <t>SDO-4324 SWIFT Outbound/Inbound</t>
        </is>
      </c>
      <c r="D12" s="12">
        <f>SUMIFS(Detail!$G$4:$G$146,Detail!$A$4:$A$146,$A$2,Detail!$B$4:$B$146,$A12,Detail!$C$4:$C$146,$B12)</f>
        <v/>
      </c>
    </row>
    <row r="13">
      <c r="A13" s="10" t="inlineStr">
        <is>
          <t>Sheik Farzand Razi</t>
        </is>
      </c>
      <c r="B13" s="10" t="inlineStr">
        <is>
          <t>SDO-7622</t>
        </is>
      </c>
      <c r="C13" s="10" t="inlineStr">
        <is>
          <t>SDO-7622 VOP Performance investigation</t>
        </is>
      </c>
      <c r="D13" s="12">
        <f>SUMIFS(Detail!$G$4:$G$146,Detail!$A$4:$A$146,$A$2,Detail!$B$4:$B$146,$A13,Detail!$C$4:$C$146,$B13)</f>
        <v/>
      </c>
    </row>
    <row r="14">
      <c r="A14" s="10" t="inlineStr">
        <is>
          <t>Sheik Farzand Razi</t>
        </is>
      </c>
      <c r="B14" s="10" t="inlineStr">
        <is>
          <t>SDO-7680</t>
        </is>
      </c>
      <c r="C14" s="10" t="inlineStr">
        <is>
          <t>SDO-7680 Multi region</t>
        </is>
      </c>
      <c r="D14" s="12">
        <f>SUMIFS(Detail!$G$4:$G$146,Detail!$A$4:$A$146,$A$2,Detail!$B$4:$B$146,$A14,Detail!$C$4:$C$146,$B14)</f>
        <v/>
      </c>
    </row>
    <row r="15">
      <c r="A15" s="10" t="inlineStr">
        <is>
          <t>Sheik Farzand Razi</t>
        </is>
      </c>
      <c r="B15" s="10" t="inlineStr">
        <is>
          <t>SDO-7982</t>
        </is>
      </c>
      <c r="C15" s="10" t="inlineStr">
        <is>
          <t>SDO-7982 Samba Observability</t>
        </is>
      </c>
      <c r="D15" s="12">
        <f>SUMIFS(Detail!$G$4:$G$146,Detail!$A$4:$A$146,$A$2,Detail!$B$4:$B$146,$A15,Detail!$C$4:$C$146,$B15)</f>
        <v/>
      </c>
    </row>
    <row r="16">
      <c r="A16" s="10" t="inlineStr">
        <is>
          <t>Ismail Kuyu</t>
        </is>
      </c>
      <c r="B16" s="10" t="inlineStr">
        <is>
          <t>SDO-7438</t>
        </is>
      </c>
      <c r="C16" s="10" t="inlineStr">
        <is>
          <t>SDO-7438 VOP Gateway - Enhancements</t>
        </is>
      </c>
      <c r="D16" s="12">
        <f>SUMIFS(Detail!$G$4:$G$146,Detail!$A$4:$A$146,$A$2,Detail!$B$4:$B$146,$A16,Detail!$C$4:$C$146,$B16)</f>
        <v/>
      </c>
    </row>
    <row r="17">
      <c r="A17" s="10" t="inlineStr">
        <is>
          <t>Ismail Kuyu</t>
        </is>
      </c>
      <c r="B17" s="10" t="inlineStr">
        <is>
          <t>SDO-7907</t>
        </is>
      </c>
      <c r="C17" s="10" t="inlineStr">
        <is>
          <t>SDO-7907 Corporate checks via VOP (MVP)</t>
        </is>
      </c>
      <c r="D17" s="12">
        <f>SUMIFS(Detail!$G$4:$G$146,Detail!$A$4:$A$146,$A$2,Detail!$B$4:$B$146,$A17,Detail!$C$4:$C$146,$B17)</f>
        <v/>
      </c>
    </row>
    <row r="18">
      <c r="A18" s="10" t="inlineStr">
        <is>
          <t>Ismail Kuyu</t>
        </is>
      </c>
      <c r="B18" s="10" t="inlineStr">
        <is>
          <t>SDO-7982</t>
        </is>
      </c>
      <c r="C18" s="10" t="inlineStr">
        <is>
          <t>SDO-7982 Samba Observability</t>
        </is>
      </c>
      <c r="D18" s="12">
        <f>SUMIFS(Detail!$G$4:$G$146,Detail!$A$4:$A$146,$A$2,Detail!$B$4:$B$146,$A18,Detail!$C$4:$C$146,$B18)</f>
        <v/>
      </c>
    </row>
    <row r="19">
      <c r="A19" s="10" t="inlineStr">
        <is>
          <t>Ismail Kuyu</t>
        </is>
      </c>
      <c r="B19" s="10" t="inlineStr">
        <is>
          <t>SDO-8067</t>
        </is>
      </c>
      <c r="C19" s="10" t="inlineStr">
        <is>
          <t>SDO-8067 Swift outbound v3</t>
        </is>
      </c>
      <c r="D19" s="12">
        <f>SUMIFS(Detail!$G$4:$G$146,Detail!$A$4:$A$146,$A$2,Detail!$B$4:$B$146,$A19,Detail!$C$4:$C$146,$B19)</f>
        <v/>
      </c>
    </row>
    <row r="20">
      <c r="A20" s="10" t="inlineStr">
        <is>
          <t>Kumar Kannan</t>
        </is>
      </c>
      <c r="B20" s="10" t="inlineStr">
        <is>
          <t>SDO-7680</t>
        </is>
      </c>
      <c r="C20" s="10" t="inlineStr">
        <is>
          <t>SDO-7680 Multi region</t>
        </is>
      </c>
      <c r="D20" s="12">
        <f>SUMIFS(Detail!$G$4:$G$146,Detail!$A$4:$A$146,$A$2,Detail!$B$4:$B$146,$A20,Detail!$C$4:$C$146,$B20)</f>
        <v/>
      </c>
    </row>
    <row r="21">
      <c r="A21" s="17" t="n"/>
      <c r="B21" s="17" t="n"/>
      <c r="C21" s="18" t="inlineStr">
        <is>
          <t>TEAM TOTAL</t>
        </is>
      </c>
      <c r="D21" s="19">
        <f>SUM(D5:D20)</f>
        <v/>
      </c>
    </row>
    <row r="24">
      <c r="A24" s="6" t="inlineStr">
        <is>
          <t>Per engineer</t>
        </is>
      </c>
    </row>
    <row r="25">
      <c r="A25" s="9" t="inlineStr">
        <is>
          <t>Engineer</t>
        </is>
      </c>
      <c r="B25" s="9" t="inlineStr">
        <is>
          <t>WBSO hours</t>
        </is>
      </c>
      <c r="C25" s="9" t="inlineStr">
        <is>
          <t>Day equivalent</t>
        </is>
      </c>
      <c r="D25" s="9" t="inlineStr">
        <is>
          <t>Active days</t>
        </is>
      </c>
      <c r="E25" s="9" t="inlineStr">
        <is>
          <t>Capacity hours</t>
        </is>
      </c>
      <c r="F25" s="9" t="inlineStr">
        <is>
          <t>WBSO share</t>
        </is>
      </c>
      <c r="G25" s="9" t="inlineStr">
        <is>
          <t>Peak tickets/day</t>
        </is>
      </c>
    </row>
    <row r="26">
      <c r="A26" s="10" t="inlineStr">
        <is>
          <t>Ioannis Argyroulis</t>
        </is>
      </c>
      <c r="B26" s="12">
        <f>SUMIFS(Detail!$G$4:$G$146,Detail!$A$4:$A$146,$A$2,Detail!$B$4:$B$146,$A26)</f>
        <v/>
      </c>
      <c r="C26" s="12">
        <f>IFERROR($B26/Assumptions!$B$5,0)</f>
        <v/>
      </c>
      <c r="D26" s="11" t="n">
        <v>21</v>
      </c>
      <c r="E26" s="12">
        <f>$D26*Assumptions!$B$5</f>
        <v/>
      </c>
      <c r="F26" s="13">
        <f>IFERROR($B26/$E26,0)</f>
        <v/>
      </c>
      <c r="G26" s="11" t="inlineStr">
        <is>
          <t>2 on 07 Nov</t>
        </is>
      </c>
    </row>
    <row r="27">
      <c r="A27" s="10" t="inlineStr">
        <is>
          <t>Muhammad Sulaiman</t>
        </is>
      </c>
      <c r="B27" s="12">
        <f>SUMIFS(Detail!$G$4:$G$146,Detail!$A$4:$A$146,$A$2,Detail!$B$4:$B$146,$A27)</f>
        <v/>
      </c>
      <c r="C27" s="12">
        <f>IFERROR($B27/Assumptions!$B$5,0)</f>
        <v/>
      </c>
      <c r="D27" s="11" t="n">
        <v>21</v>
      </c>
      <c r="E27" s="12">
        <f>$D27*Assumptions!$B$5</f>
        <v/>
      </c>
      <c r="F27" s="13">
        <f>IFERROR($B27/$E27,0)</f>
        <v/>
      </c>
      <c r="G27" s="11" t="inlineStr">
        <is>
          <t>6 on 03 Nov</t>
        </is>
      </c>
    </row>
    <row r="28">
      <c r="A28" s="10" t="inlineStr">
        <is>
          <t>Orwa Badran</t>
        </is>
      </c>
      <c r="B28" s="12">
        <f>SUMIFS(Detail!$G$4:$G$146,Detail!$A$4:$A$146,$A$2,Detail!$B$4:$B$146,$A28)</f>
        <v/>
      </c>
      <c r="C28" s="12">
        <f>IFERROR($B28/Assumptions!$B$5,0)</f>
        <v/>
      </c>
      <c r="D28" s="11" t="n">
        <v>21</v>
      </c>
      <c r="E28" s="12">
        <f>$D28*Assumptions!$B$5</f>
        <v/>
      </c>
      <c r="F28" s="13">
        <f>IFERROR($B28/$E28,0)</f>
        <v/>
      </c>
      <c r="G28" s="11" t="inlineStr">
        <is>
          <t>5 on 27 Nov</t>
        </is>
      </c>
    </row>
    <row r="29">
      <c r="A29" s="10" t="inlineStr">
        <is>
          <t>Sheik Farzand Razi</t>
        </is>
      </c>
      <c r="B29" s="12">
        <f>SUMIFS(Detail!$G$4:$G$146,Detail!$A$4:$A$146,$A$2,Detail!$B$4:$B$146,$A29)</f>
        <v/>
      </c>
      <c r="C29" s="12">
        <f>IFERROR($B29/Assumptions!$B$5,0)</f>
        <v/>
      </c>
      <c r="D29" s="11" t="n">
        <v>21</v>
      </c>
      <c r="E29" s="12">
        <f>$D29*Assumptions!$B$5</f>
        <v/>
      </c>
      <c r="F29" s="13">
        <f>IFERROR($B29/$E29,0)</f>
        <v/>
      </c>
      <c r="G29" s="11" t="inlineStr">
        <is>
          <t>5 on 27 Nov</t>
        </is>
      </c>
    </row>
    <row r="30">
      <c r="A30" s="10" t="inlineStr">
        <is>
          <t>Ismail Kuyu</t>
        </is>
      </c>
      <c r="B30" s="12">
        <f>SUMIFS(Detail!$G$4:$G$146,Detail!$A$4:$A$146,$A$2,Detail!$B$4:$B$146,$A30)</f>
        <v/>
      </c>
      <c r="C30" s="12">
        <f>IFERROR($B30/Assumptions!$B$5,0)</f>
        <v/>
      </c>
      <c r="D30" s="11" t="n">
        <v>21</v>
      </c>
      <c r="E30" s="12">
        <f>$D30*Assumptions!$B$5</f>
        <v/>
      </c>
      <c r="F30" s="13">
        <f>IFERROR($B30/$E30,0)</f>
        <v/>
      </c>
      <c r="G30" s="11" t="inlineStr">
        <is>
          <t>6 on 27 Nov</t>
        </is>
      </c>
    </row>
    <row r="31">
      <c r="A31" s="10" t="inlineStr">
        <is>
          <t>Kumar Kannan</t>
        </is>
      </c>
      <c r="B31" s="12">
        <f>SUMIFS(Detail!$G$4:$G$146,Detail!$A$4:$A$146,$A$2,Detail!$B$4:$B$146,$A31)</f>
        <v/>
      </c>
      <c r="C31" s="12">
        <f>IFERROR($B31/Assumptions!$B$5,0)</f>
        <v/>
      </c>
      <c r="D31" s="11" t="n">
        <v>21</v>
      </c>
      <c r="E31" s="12">
        <f>$D31*Assumptions!$B$5</f>
        <v/>
      </c>
      <c r="F31" s="13">
        <f>IFERROR($B31/$E31,0)</f>
        <v/>
      </c>
      <c r="G31" s="11" t="inlineStr">
        <is>
          <t>9 on 18 Nov</t>
        </is>
      </c>
    </row>
    <row r="32">
      <c r="A32" s="3" t="inlineStr">
        <is>
          <t>TOTAL</t>
        </is>
      </c>
      <c r="B32" s="15">
        <f>SUM(B26:B31)</f>
        <v/>
      </c>
      <c r="C32" s="15">
        <f>SUM(C26:C31)</f>
        <v/>
      </c>
      <c r="D32" s="15">
        <f>SUM(D26:D31)</f>
        <v/>
      </c>
      <c r="E32" s="15">
        <f>SUM(E26:E31)</f>
        <v/>
      </c>
      <c r="F32" s="16">
        <f>IFERROR($B32/$E32,0)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YODA — WBSO hours, 2025-11</t>
        </is>
      </c>
    </row>
    <row r="2">
      <c r="A2" s="5" t="inlineStr">
        <is>
          <t>YODA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Mitali Patil</t>
        </is>
      </c>
      <c r="B5" s="10" t="inlineStr">
        <is>
          <t>YODA-1672</t>
        </is>
      </c>
      <c r="C5" s="10" t="inlineStr">
        <is>
          <t>YODA-1672 Multi Region by Yoda</t>
        </is>
      </c>
      <c r="D5" s="12">
        <f>SUMIFS(Detail!$G$4:$G$146,Detail!$A$4:$A$146,$A$2,Detail!$B$4:$B$146,$A5,Detail!$C$4:$C$146,$B5)</f>
        <v/>
      </c>
    </row>
    <row r="6">
      <c r="A6" s="10" t="inlineStr">
        <is>
          <t>Parth Mewada</t>
        </is>
      </c>
      <c r="B6" s="10" t="inlineStr">
        <is>
          <t>YODA-1672</t>
        </is>
      </c>
      <c r="C6" s="10" t="inlineStr">
        <is>
          <t>YODA-1672 Multi Region by Yoda</t>
        </is>
      </c>
      <c r="D6" s="12">
        <f>SUMIFS(Detail!$G$4:$G$146,Detail!$A$4:$A$146,$A$2,Detail!$B$4:$B$146,$A6,Detail!$C$4:$C$146,$B6)</f>
        <v/>
      </c>
    </row>
    <row r="7">
      <c r="A7" s="10" t="inlineStr">
        <is>
          <t>Shrikant Patil</t>
        </is>
      </c>
      <c r="B7" s="10" t="inlineStr">
        <is>
          <t>YODA-1656</t>
        </is>
      </c>
      <c r="C7" s="10" t="inlineStr">
        <is>
          <t>YODA-1656 [Audit] Cross cluster search</t>
        </is>
      </c>
      <c r="D7" s="12">
        <f>SUMIFS(Detail!$G$4:$G$146,Detail!$A$4:$A$146,$A$2,Detail!$B$4:$B$146,$A7,Detail!$C$4:$C$146,$B7)</f>
        <v/>
      </c>
    </row>
    <row r="8">
      <c r="A8" s="10" t="inlineStr">
        <is>
          <t>Shrikant Patil</t>
        </is>
      </c>
      <c r="B8" s="10" t="inlineStr">
        <is>
          <t>YODA-1672</t>
        </is>
      </c>
      <c r="C8" s="10" t="inlineStr">
        <is>
          <t>YODA-1672 Multi Region by Yoda</t>
        </is>
      </c>
      <c r="D8" s="12">
        <f>SUMIFS(Detail!$G$4:$G$146,Detail!$A$4:$A$146,$A$2,Detail!$B$4:$B$146,$A8,Detail!$C$4:$C$146,$B8)</f>
        <v/>
      </c>
    </row>
    <row r="9">
      <c r="A9" s="10" t="inlineStr">
        <is>
          <t>Ramseshu Ghanta</t>
        </is>
      </c>
      <c r="B9" s="10" t="inlineStr">
        <is>
          <t>YODA-1429</t>
        </is>
      </c>
      <c r="C9" s="10" t="inlineStr">
        <is>
          <t>YODA-1429 [Audit] Backup strategy</t>
        </is>
      </c>
      <c r="D9" s="12">
        <f>SUMIFS(Detail!$G$4:$G$146,Detail!$A$4:$A$146,$A$2,Detail!$B$4:$B$146,$A9,Detail!$C$4:$C$146,$B9)</f>
        <v/>
      </c>
    </row>
    <row r="10">
      <c r="A10" s="10" t="inlineStr">
        <is>
          <t>Ramseshu Ghanta</t>
        </is>
      </c>
      <c r="B10" s="10" t="inlineStr">
        <is>
          <t>YODA-1672</t>
        </is>
      </c>
      <c r="C10" s="10" t="inlineStr">
        <is>
          <t>YODA-1672 Multi Region by Yoda</t>
        </is>
      </c>
      <c r="D10" s="12">
        <f>SUMIFS(Detail!$G$4:$G$146,Detail!$A$4:$A$146,$A$2,Detail!$B$4:$B$146,$A10,Detail!$C$4:$C$146,$B10)</f>
        <v/>
      </c>
    </row>
    <row r="11">
      <c r="A11" s="10" t="inlineStr">
        <is>
          <t>Richard Oliver</t>
        </is>
      </c>
      <c r="B11" s="10" t="inlineStr">
        <is>
          <t>YODA-1672</t>
        </is>
      </c>
      <c r="C11" s="10" t="inlineStr">
        <is>
          <t>YODA-1672 Multi Region by Yoda</t>
        </is>
      </c>
      <c r="D11" s="12">
        <f>SUMIFS(Detail!$G$4:$G$146,Detail!$A$4:$A$146,$A$2,Detail!$B$4:$B$146,$A11,Detail!$C$4:$C$146,$B11)</f>
        <v/>
      </c>
    </row>
    <row r="12">
      <c r="A12" s="10" t="inlineStr">
        <is>
          <t>Mark Moorcroft</t>
        </is>
      </c>
      <c r="B12" s="10" t="inlineStr">
        <is>
          <t>YODA-1672</t>
        </is>
      </c>
      <c r="C12" s="10" t="inlineStr">
        <is>
          <t>YODA-1672 Multi Region by Yoda</t>
        </is>
      </c>
      <c r="D12" s="12">
        <f>SUMIFS(Detail!$G$4:$G$146,Detail!$A$4:$A$146,$A$2,Detail!$B$4:$B$146,$A12,Detail!$C$4:$C$146,$B12)</f>
        <v/>
      </c>
    </row>
    <row r="13">
      <c r="A13" s="10" t="inlineStr">
        <is>
          <t>Marin Onofrei</t>
        </is>
      </c>
      <c r="B13" s="10" t="inlineStr">
        <is>
          <t>YODA-1413</t>
        </is>
      </c>
      <c r="C13" s="10" t="inlineStr">
        <is>
          <t>YODA-1413 OPA VOP for JPM</t>
        </is>
      </c>
      <c r="D13" s="12">
        <f>SUMIFS(Detail!$G$4:$G$146,Detail!$A$4:$A$146,$A$2,Detail!$B$4:$B$146,$A13,Detail!$C$4:$C$146,$B13)</f>
        <v/>
      </c>
    </row>
    <row r="14">
      <c r="A14" s="17" t="n"/>
      <c r="B14" s="17" t="n"/>
      <c r="C14" s="18" t="inlineStr">
        <is>
          <t>TEAM TOTAL</t>
        </is>
      </c>
      <c r="D14" s="19">
        <f>SUM(D5:D13)</f>
        <v/>
      </c>
    </row>
    <row r="17">
      <c r="A17" s="6" t="inlineStr">
        <is>
          <t>Per engineer</t>
        </is>
      </c>
    </row>
    <row r="18">
      <c r="A18" s="9" t="inlineStr">
        <is>
          <t>Engineer</t>
        </is>
      </c>
      <c r="B18" s="9" t="inlineStr">
        <is>
          <t>WBSO hours</t>
        </is>
      </c>
      <c r="C18" s="9" t="inlineStr">
        <is>
          <t>Day equivalent</t>
        </is>
      </c>
      <c r="D18" s="9" t="inlineStr">
        <is>
          <t>Active days</t>
        </is>
      </c>
      <c r="E18" s="9" t="inlineStr">
        <is>
          <t>Capacity hours</t>
        </is>
      </c>
      <c r="F18" s="9" t="inlineStr">
        <is>
          <t>WBSO share</t>
        </is>
      </c>
      <c r="G18" s="9" t="inlineStr">
        <is>
          <t>Peak tickets/day</t>
        </is>
      </c>
    </row>
    <row r="19">
      <c r="A19" s="10" t="inlineStr">
        <is>
          <t>Mitali Patil</t>
        </is>
      </c>
      <c r="B19" s="12">
        <f>SUMIFS(Detail!$G$4:$G$146,Detail!$A$4:$A$146,$A$2,Detail!$B$4:$B$146,$A19)</f>
        <v/>
      </c>
      <c r="C19" s="12">
        <f>IFERROR($B19/Assumptions!$B$5,0)</f>
        <v/>
      </c>
      <c r="D19" s="11" t="n">
        <v>18</v>
      </c>
      <c r="E19" s="12">
        <f>$D19*Assumptions!$B$5</f>
        <v/>
      </c>
      <c r="F19" s="13">
        <f>IFERROR($B19/$E19,0)</f>
        <v/>
      </c>
      <c r="G19" s="11" t="inlineStr">
        <is>
          <t>1 on 06 Nov</t>
        </is>
      </c>
    </row>
    <row r="20">
      <c r="A20" s="10" t="inlineStr">
        <is>
          <t>Parth Mewada</t>
        </is>
      </c>
      <c r="B20" s="12">
        <f>SUMIFS(Detail!$G$4:$G$146,Detail!$A$4:$A$146,$A$2,Detail!$B$4:$B$146,$A20)</f>
        <v/>
      </c>
      <c r="C20" s="12">
        <f>IFERROR($B20/Assumptions!$B$5,0)</f>
        <v/>
      </c>
      <c r="D20" s="11" t="n">
        <v>20</v>
      </c>
      <c r="E20" s="12">
        <f>$D20*Assumptions!$B$5</f>
        <v/>
      </c>
      <c r="F20" s="13">
        <f>IFERROR($B20/$E20,0)</f>
        <v/>
      </c>
      <c r="G20" s="11" t="inlineStr">
        <is>
          <t>11 on 17 Nov</t>
        </is>
      </c>
    </row>
    <row r="21">
      <c r="A21" s="10" t="inlineStr">
        <is>
          <t>Shrikant Patil</t>
        </is>
      </c>
      <c r="B21" s="12">
        <f>SUMIFS(Detail!$G$4:$G$146,Detail!$A$4:$A$146,$A$2,Detail!$B$4:$B$146,$A21)</f>
        <v/>
      </c>
      <c r="C21" s="12">
        <f>IFERROR($B21/Assumptions!$B$5,0)</f>
        <v/>
      </c>
      <c r="D21" s="11" t="n">
        <v>21</v>
      </c>
      <c r="E21" s="12">
        <f>$D21*Assumptions!$B$5</f>
        <v/>
      </c>
      <c r="F21" s="13">
        <f>IFERROR($B21/$E21,0)</f>
        <v/>
      </c>
      <c r="G21" s="11" t="inlineStr">
        <is>
          <t>7 on 21 Nov</t>
        </is>
      </c>
    </row>
    <row r="22">
      <c r="A22" s="10" t="inlineStr">
        <is>
          <t>Ramseshu Ghanta</t>
        </is>
      </c>
      <c r="B22" s="12">
        <f>SUMIFS(Detail!$G$4:$G$146,Detail!$A$4:$A$146,$A$2,Detail!$B$4:$B$146,$A22)</f>
        <v/>
      </c>
      <c r="C22" s="12">
        <f>IFERROR($B22/Assumptions!$B$5,0)</f>
        <v/>
      </c>
      <c r="D22" s="11" t="n">
        <v>21</v>
      </c>
      <c r="E22" s="12">
        <f>$D22*Assumptions!$B$5</f>
        <v/>
      </c>
      <c r="F22" s="13">
        <f>IFERROR($B22/$E22,0)</f>
        <v/>
      </c>
      <c r="G22" s="11" t="inlineStr">
        <is>
          <t>5 on 10 Nov</t>
        </is>
      </c>
    </row>
    <row r="23">
      <c r="A23" s="10" t="inlineStr">
        <is>
          <t>Richard Oliver</t>
        </is>
      </c>
      <c r="B23" s="12">
        <f>SUMIFS(Detail!$G$4:$G$146,Detail!$A$4:$A$146,$A$2,Detail!$B$4:$B$146,$A23)</f>
        <v/>
      </c>
      <c r="C23" s="12">
        <f>IFERROR($B23/Assumptions!$B$5,0)</f>
        <v/>
      </c>
      <c r="D23" s="11" t="n">
        <v>15</v>
      </c>
      <c r="E23" s="12">
        <f>$D23*Assumptions!$B$5</f>
        <v/>
      </c>
      <c r="F23" s="13">
        <f>IFERROR($B23/$E23,0)</f>
        <v/>
      </c>
      <c r="G23" s="11" t="inlineStr">
        <is>
          <t>3 on 11 Nov</t>
        </is>
      </c>
    </row>
    <row r="24">
      <c r="A24" s="10" t="inlineStr">
        <is>
          <t>Mark Moorcroft</t>
        </is>
      </c>
      <c r="B24" s="12">
        <f>SUMIFS(Detail!$G$4:$G$146,Detail!$A$4:$A$146,$A$2,Detail!$B$4:$B$146,$A24)</f>
        <v/>
      </c>
      <c r="C24" s="12">
        <f>IFERROR($B24/Assumptions!$B$5,0)</f>
        <v/>
      </c>
      <c r="D24" s="11" t="n">
        <v>21</v>
      </c>
      <c r="E24" s="12">
        <f>$D24*Assumptions!$B$5</f>
        <v/>
      </c>
      <c r="F24" s="13">
        <f>IFERROR($B24/$E24,0)</f>
        <v/>
      </c>
      <c r="G24" s="11" t="inlineStr">
        <is>
          <t>6 on 13 Nov</t>
        </is>
      </c>
    </row>
    <row r="25">
      <c r="A25" s="10" t="inlineStr">
        <is>
          <t>Marin Onofrei</t>
        </is>
      </c>
      <c r="B25" s="12">
        <f>SUMIFS(Detail!$G$4:$G$146,Detail!$A$4:$A$146,$A$2,Detail!$B$4:$B$146,$A25)</f>
        <v/>
      </c>
      <c r="C25" s="12">
        <f>IFERROR($B25/Assumptions!$B$5,0)</f>
        <v/>
      </c>
      <c r="D25" s="11" t="n">
        <v>2</v>
      </c>
      <c r="E25" s="12">
        <f>$D25*Assumptions!$B$5</f>
        <v/>
      </c>
      <c r="F25" s="13">
        <f>IFERROR($B25/$E25,0)</f>
        <v/>
      </c>
      <c r="G25" s="11" t="inlineStr">
        <is>
          <t>2 on 03 Nov</t>
        </is>
      </c>
    </row>
    <row r="26">
      <c r="A26" s="3" t="inlineStr">
        <is>
          <t>TOTAL</t>
        </is>
      </c>
      <c r="B26" s="15">
        <f>SUM(B19:B25)</f>
        <v/>
      </c>
      <c r="C26" s="15">
        <f>SUM(C19:C25)</f>
        <v/>
      </c>
      <c r="D26" s="15">
        <f>SUM(D19:D25)</f>
        <v/>
      </c>
      <c r="E26" s="15">
        <f>SUM(E19:E25)</f>
        <v/>
      </c>
      <c r="F26" s="16">
        <f>IFERROR($B26/$E26,0)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34" customWidth="1" min="4" max="4"/>
    <col width="14" customWidth="1" min="5" max="5"/>
    <col width="46" customWidth="1" min="6" max="6"/>
    <col width="10" customWidth="1" min="7" max="7"/>
  </cols>
  <sheetData>
    <row r="1">
      <c r="A1" s="1" t="inlineStr">
        <is>
          <t>Per-ticket WBSO hours across every team (input data from Jira)</t>
        </is>
      </c>
    </row>
    <row r="3">
      <c r="A3" s="9" t="inlineStr">
        <is>
          <t>Team</t>
        </is>
      </c>
      <c r="B3" s="9" t="inlineStr">
        <is>
          <t>Engineer</t>
        </is>
      </c>
      <c r="C3" s="9" t="inlineStr">
        <is>
          <t>Epic key</t>
        </is>
      </c>
      <c r="D3" s="9" t="inlineStr">
        <is>
          <t>Epic</t>
        </is>
      </c>
      <c r="E3" s="9" t="inlineStr">
        <is>
          <t>Ticket</t>
        </is>
      </c>
      <c r="F3" s="9" t="inlineStr">
        <is>
          <t>Ticket summary</t>
        </is>
      </c>
      <c r="G3" s="9" t="inlineStr">
        <is>
          <t>Hours</t>
        </is>
      </c>
    </row>
    <row r="4">
      <c r="A4" s="10" t="inlineStr">
        <is>
          <t>Pastel de Portal Team</t>
        </is>
      </c>
      <c r="B4" s="10" t="inlineStr">
        <is>
          <t>Basar Soker</t>
        </is>
      </c>
      <c r="C4" s="10" t="inlineStr">
        <is>
          <t>PT-421</t>
        </is>
      </c>
      <c r="D4" s="10" t="inlineStr">
        <is>
          <t>PT-421 Multi Region Implementation</t>
        </is>
      </c>
      <c r="E4" s="10" t="inlineStr">
        <is>
          <t>PT-425</t>
        </is>
      </c>
      <c r="F4" s="10" t="inlineStr">
        <is>
          <t>Infrastructure Preparation for Multi-region</t>
        </is>
      </c>
      <c r="G4" s="20" t="n">
        <v>76.66670000000001</v>
      </c>
    </row>
    <row r="5">
      <c r="A5" s="10" t="inlineStr">
        <is>
          <t>Pastel de Portal Team</t>
        </is>
      </c>
      <c r="B5" s="10" t="inlineStr">
        <is>
          <t>Basar Soker</t>
        </is>
      </c>
      <c r="C5" s="10" t="inlineStr">
        <is>
          <t>PT-421</t>
        </is>
      </c>
      <c r="D5" s="10" t="inlineStr">
        <is>
          <t>PT-421 Multi Region Implementation</t>
        </is>
      </c>
      <c r="E5" s="10" t="inlineStr">
        <is>
          <t>PT-424</t>
        </is>
      </c>
      <c r="F5" s="10" t="inlineStr">
        <is>
          <t>Migrate Subscription Table to a Global Dynamo</t>
        </is>
      </c>
      <c r="G5" s="20" t="n">
        <v>36</v>
      </c>
    </row>
    <row r="6">
      <c r="A6" s="10" t="inlineStr">
        <is>
          <t>Pastel de Portal Team</t>
        </is>
      </c>
      <c r="B6" s="10" t="inlineStr">
        <is>
          <t>Basar Soker</t>
        </is>
      </c>
      <c r="C6" s="10" t="inlineStr">
        <is>
          <t>PT-421</t>
        </is>
      </c>
      <c r="D6" s="10" t="inlineStr">
        <is>
          <t>PT-421 Multi Region Implementation</t>
        </is>
      </c>
      <c r="E6" s="10" t="inlineStr">
        <is>
          <t>PT-465</t>
        </is>
      </c>
      <c r="F6" s="10" t="inlineStr">
        <is>
          <t>Making DynamoDB multi-region reachable</t>
        </is>
      </c>
      <c r="G6" s="20" t="n">
        <v>15.3333</v>
      </c>
    </row>
    <row r="7">
      <c r="A7" s="10" t="inlineStr">
        <is>
          <t>Pastel de Portal Team</t>
        </is>
      </c>
      <c r="B7" s="10" t="inlineStr">
        <is>
          <t>Basar Soker</t>
        </is>
      </c>
      <c r="C7" s="10" t="inlineStr">
        <is>
          <t>PT-421</t>
        </is>
      </c>
      <c r="D7" s="10" t="inlineStr">
        <is>
          <t>PT-421 Multi Region Implementation</t>
        </is>
      </c>
      <c r="E7" s="10" t="inlineStr">
        <is>
          <t>PT-468</t>
        </is>
      </c>
      <c r="F7" s="10" t="inlineStr">
        <is>
          <t>Remove Dashboard Proxy Lambda &amp; API gateway -</t>
        </is>
      </c>
      <c r="G7" s="20" t="n">
        <v>10</v>
      </c>
    </row>
    <row r="8">
      <c r="A8" s="10" t="inlineStr">
        <is>
          <t>Pastel de Portal Team</t>
        </is>
      </c>
      <c r="B8" s="10" t="inlineStr">
        <is>
          <t>Basar Soker</t>
        </is>
      </c>
      <c r="C8" s="10" t="inlineStr">
        <is>
          <t>PT-421</t>
        </is>
      </c>
      <c r="D8" s="10" t="inlineStr">
        <is>
          <t>PT-421 Multi Region Implementation</t>
        </is>
      </c>
      <c r="E8" s="10" t="inlineStr">
        <is>
          <t>PT-466</t>
        </is>
      </c>
      <c r="F8" s="10" t="inlineStr">
        <is>
          <t>Making KMS Keys multi-region reachable</t>
        </is>
      </c>
      <c r="G8" s="20" t="n">
        <v>4.6667</v>
      </c>
    </row>
    <row r="9">
      <c r="A9" s="10" t="inlineStr">
        <is>
          <t>Pastel de Portal Team</t>
        </is>
      </c>
      <c r="B9" s="10" t="inlineStr">
        <is>
          <t>alan.silva</t>
        </is>
      </c>
      <c r="C9" s="10" t="inlineStr">
        <is>
          <t>PT-420</t>
        </is>
      </c>
      <c r="D9" s="10" t="inlineStr">
        <is>
          <t>PT-420 VoP For Corporates</t>
        </is>
      </c>
      <c r="E9" s="10" t="inlineStr">
        <is>
          <t>PT-423</t>
        </is>
      </c>
      <c r="F9" s="10" t="inlineStr">
        <is>
          <t>VoP For Corporates - Testing all scenarios</t>
        </is>
      </c>
      <c r="G9" s="20" t="n">
        <v>18.6667</v>
      </c>
    </row>
    <row r="10">
      <c r="A10" s="10" t="inlineStr">
        <is>
          <t>Pastel de Portal Team</t>
        </is>
      </c>
      <c r="B10" s="10" t="inlineStr">
        <is>
          <t>alan.silva</t>
        </is>
      </c>
      <c r="C10" s="10" t="inlineStr">
        <is>
          <t>PT-420</t>
        </is>
      </c>
      <c r="D10" s="10" t="inlineStr">
        <is>
          <t>PT-420 VoP For Corporates</t>
        </is>
      </c>
      <c r="E10" s="10" t="inlineStr">
        <is>
          <t>PT-475</t>
        </is>
      </c>
      <c r="F10" s="10" t="inlineStr">
        <is>
          <t>Automation for VoP for Corporates</t>
        </is>
      </c>
      <c r="G10" s="20" t="n">
        <v>9.6</v>
      </c>
    </row>
    <row r="11">
      <c r="A11" s="10" t="inlineStr">
        <is>
          <t>Pastel de Portal Team</t>
        </is>
      </c>
      <c r="B11" s="10" t="inlineStr">
        <is>
          <t>alan.silva</t>
        </is>
      </c>
      <c r="C11" s="10" t="inlineStr">
        <is>
          <t>PT-420</t>
        </is>
      </c>
      <c r="D11" s="10" t="inlineStr">
        <is>
          <t>PT-420 VoP For Corporates</t>
        </is>
      </c>
      <c r="E11" s="10" t="inlineStr">
        <is>
          <t>PT-419</t>
        </is>
      </c>
      <c r="F11" s="10" t="inlineStr">
        <is>
          <t>Update request to Org API - EU Corporates</t>
        </is>
      </c>
      <c r="G11" s="20" t="n">
        <v>4.6667</v>
      </c>
    </row>
    <row r="12">
      <c r="A12" s="10" t="inlineStr">
        <is>
          <t>Pastel de Portal Team</t>
        </is>
      </c>
      <c r="B12" s="10" t="inlineStr">
        <is>
          <t>alan.silva</t>
        </is>
      </c>
      <c r="C12" s="10" t="inlineStr">
        <is>
          <t>PT-420</t>
        </is>
      </c>
      <c r="D12" s="10" t="inlineStr">
        <is>
          <t>PT-420 VoP For Corporates</t>
        </is>
      </c>
      <c r="E12" s="10" t="inlineStr">
        <is>
          <t>PT-481</t>
        </is>
      </c>
      <c r="F12" s="10" t="inlineStr">
        <is>
          <t>CLONE - Remove IBAN check input error when ac</t>
        </is>
      </c>
      <c r="G12" s="20" t="n">
        <v>3.6</v>
      </c>
    </row>
    <row r="13">
      <c r="A13" s="10" t="inlineStr">
        <is>
          <t>Pastel de Portal Team</t>
        </is>
      </c>
      <c r="B13" s="10" t="inlineStr">
        <is>
          <t>alan.silva</t>
        </is>
      </c>
      <c r="C13" s="10" t="inlineStr">
        <is>
          <t>PT-420</t>
        </is>
      </c>
      <c r="D13" s="10" t="inlineStr">
        <is>
          <t>PT-420 VoP For Corporates</t>
        </is>
      </c>
      <c r="E13" s="10" t="inlineStr">
        <is>
          <t>PT-512</t>
        </is>
      </c>
      <c r="F13" s="10" t="inlineStr">
        <is>
          <t>Update Result screen: Used Scheme</t>
        </is>
      </c>
      <c r="G13" s="20" t="n">
        <v>1.6</v>
      </c>
    </row>
    <row r="14">
      <c r="A14" s="10" t="inlineStr">
        <is>
          <t>Pastel de Portal Team</t>
        </is>
      </c>
      <c r="B14" s="10" t="inlineStr">
        <is>
          <t>alan.silva</t>
        </is>
      </c>
      <c r="C14" s="10" t="inlineStr">
        <is>
          <t>PT-421</t>
        </is>
      </c>
      <c r="D14" s="10" t="inlineStr">
        <is>
          <t>PT-421 Multi Region Implementation</t>
        </is>
      </c>
      <c r="E14" s="10" t="inlineStr">
        <is>
          <t>PT-457</t>
        </is>
      </c>
      <c r="F14" s="10" t="inlineStr">
        <is>
          <t>Replace Dashboard Proxy Lambda &amp; api gateway</t>
        </is>
      </c>
      <c r="G14" s="20" t="n">
        <v>1.6</v>
      </c>
    </row>
    <row r="15">
      <c r="A15" s="10" t="inlineStr">
        <is>
          <t>Pastel de Portal Team</t>
        </is>
      </c>
      <c r="B15" s="10" t="inlineStr">
        <is>
          <t>Vitor Fernandes</t>
        </is>
      </c>
      <c r="C15" s="10" t="inlineStr">
        <is>
          <t>PT-420</t>
        </is>
      </c>
      <c r="D15" s="10" t="inlineStr">
        <is>
          <t>PT-420 VoP For Corporates</t>
        </is>
      </c>
      <c r="E15" s="10" t="inlineStr">
        <is>
          <t>PT-512</t>
        </is>
      </c>
      <c r="F15" s="10" t="inlineStr">
        <is>
          <t>Update Result screen: Used Scheme</t>
        </is>
      </c>
      <c r="G15" s="20" t="n">
        <v>6.6667</v>
      </c>
    </row>
    <row r="16">
      <c r="A16" s="10" t="inlineStr">
        <is>
          <t>Pastel de Portal Team</t>
        </is>
      </c>
      <c r="B16" s="10" t="inlineStr">
        <is>
          <t>Vitor Fernandes</t>
        </is>
      </c>
      <c r="C16" s="10" t="inlineStr">
        <is>
          <t>PT-420</t>
        </is>
      </c>
      <c r="D16" s="10" t="inlineStr">
        <is>
          <t>PT-420 VoP For Corporates</t>
        </is>
      </c>
      <c r="E16" s="10" t="inlineStr">
        <is>
          <t>PT-481</t>
        </is>
      </c>
      <c r="F16" s="10" t="inlineStr">
        <is>
          <t>CLONE - Remove IBAN check input error when ac</t>
        </is>
      </c>
      <c r="G16" s="20" t="n">
        <v>3.6</v>
      </c>
    </row>
    <row r="17">
      <c r="A17" s="10" t="inlineStr">
        <is>
          <t>Pastel de Portal Team</t>
        </is>
      </c>
      <c r="B17" s="10" t="inlineStr">
        <is>
          <t>Vitor Fernandes</t>
        </is>
      </c>
      <c r="C17" s="10" t="inlineStr">
        <is>
          <t>PT-420</t>
        </is>
      </c>
      <c r="D17" s="10" t="inlineStr">
        <is>
          <t>PT-420 VoP For Corporates</t>
        </is>
      </c>
      <c r="E17" s="10" t="inlineStr">
        <is>
          <t>PT-463</t>
        </is>
      </c>
      <c r="F17" s="10" t="inlineStr">
        <is>
          <t>Remove IBAN check input error when account st</t>
        </is>
      </c>
      <c r="G17" s="20" t="n">
        <v>3.2</v>
      </c>
    </row>
    <row r="18">
      <c r="A18" s="10" t="inlineStr">
        <is>
          <t>Pastel de Portal Team</t>
        </is>
      </c>
      <c r="B18" s="10" t="inlineStr">
        <is>
          <t>Vitor Fernandes</t>
        </is>
      </c>
      <c r="C18" s="10" t="inlineStr">
        <is>
          <t>PT-421</t>
        </is>
      </c>
      <c r="D18" s="10" t="inlineStr">
        <is>
          <t>PT-421 Multi Region Implementation</t>
        </is>
      </c>
      <c r="E18" s="10" t="inlineStr">
        <is>
          <t>PT-457</t>
        </is>
      </c>
      <c r="F18" s="10" t="inlineStr">
        <is>
          <t>Replace Dashboard Proxy Lambda &amp; api gateway</t>
        </is>
      </c>
      <c r="G18" s="20" t="n">
        <v>17.3333</v>
      </c>
    </row>
    <row r="19">
      <c r="A19" s="10" t="inlineStr">
        <is>
          <t>Pastel de Portal Team</t>
        </is>
      </c>
      <c r="B19" s="10" t="inlineStr">
        <is>
          <t>Fabio Santos</t>
        </is>
      </c>
      <c r="C19" s="10" t="inlineStr">
        <is>
          <t>PT-351</t>
        </is>
      </c>
      <c r="D19" s="10" t="inlineStr">
        <is>
          <t>PT-351 VOP File Check Improvements</t>
        </is>
      </c>
      <c r="E19" s="10" t="inlineStr">
        <is>
          <t>PT-448</t>
        </is>
      </c>
      <c r="F19" s="10" t="inlineStr">
        <is>
          <t>Guide (CSV &amp; Excel) for VoP Filecheck (1st ph</t>
        </is>
      </c>
      <c r="G19" s="20" t="n">
        <v>4</v>
      </c>
    </row>
    <row r="20">
      <c r="A20" s="10" t="inlineStr">
        <is>
          <t>Pastel de Portal Team</t>
        </is>
      </c>
      <c r="B20" s="10" t="inlineStr">
        <is>
          <t>Fabio Santos</t>
        </is>
      </c>
      <c r="C20" s="10" t="inlineStr">
        <is>
          <t>PT-351</t>
        </is>
      </c>
      <c r="D20" s="10" t="inlineStr">
        <is>
          <t>PT-351 VOP File Check Improvements</t>
        </is>
      </c>
      <c r="E20" s="10" t="inlineStr">
        <is>
          <t>PT-435</t>
        </is>
      </c>
      <c r="F20" s="10" t="inlineStr">
        <is>
          <t>Update Excel Template for VoP Filecheck</t>
        </is>
      </c>
      <c r="G20" s="20" t="n">
        <v>3.2</v>
      </c>
    </row>
    <row r="21">
      <c r="A21" s="10" t="inlineStr">
        <is>
          <t>Platform Team 6</t>
        </is>
      </c>
      <c r="B21" s="10" t="inlineStr">
        <is>
          <t>Venkata Mannam</t>
        </is>
      </c>
      <c r="C21" s="10" t="inlineStr">
        <is>
          <t>PT6-1419</t>
        </is>
      </c>
      <c r="D21" s="10" t="inlineStr">
        <is>
          <t>PT6-1419 Traefik migration V3</t>
        </is>
      </c>
      <c r="E21" s="10" t="inlineStr">
        <is>
          <t>PT6-1966</t>
        </is>
      </c>
      <c r="F21" s="10" t="inlineStr">
        <is>
          <t>Upgrade Traefik to V3 Outbound cluster</t>
        </is>
      </c>
      <c r="G21" s="20" t="n">
        <v>49.6</v>
      </c>
    </row>
    <row r="22">
      <c r="A22" s="10" t="inlineStr">
        <is>
          <t>Platform Team 6</t>
        </is>
      </c>
      <c r="B22" s="10" t="inlineStr">
        <is>
          <t>Venkata Mannam</t>
        </is>
      </c>
      <c r="C22" s="10" t="inlineStr">
        <is>
          <t>PT6-1419</t>
        </is>
      </c>
      <c r="D22" s="10" t="inlineStr">
        <is>
          <t>PT6-1419 Traefik migration V3</t>
        </is>
      </c>
      <c r="E22" s="10" t="inlineStr">
        <is>
          <t>PT6-1645</t>
        </is>
      </c>
      <c r="F22" s="10" t="inlineStr">
        <is>
          <t>Upgrade Traefik to V3 Ingress cluster</t>
        </is>
      </c>
      <c r="G22" s="20" t="n">
        <v>42.9333</v>
      </c>
    </row>
    <row r="23">
      <c r="A23" s="10" t="inlineStr">
        <is>
          <t>Platform Team 6</t>
        </is>
      </c>
      <c r="B23" s="10" t="inlineStr">
        <is>
          <t>Venkata Mannam</t>
        </is>
      </c>
      <c r="C23" s="10" t="inlineStr">
        <is>
          <t>PT6-1419</t>
        </is>
      </c>
      <c r="D23" s="10" t="inlineStr">
        <is>
          <t>PT6-1419 Traefik migration V3</t>
        </is>
      </c>
      <c r="E23" s="10" t="inlineStr">
        <is>
          <t>PT6-1939</t>
        </is>
      </c>
      <c r="F23" s="10" t="inlineStr">
        <is>
          <t>Migrate all traefik outbound k8s resources to</t>
        </is>
      </c>
      <c r="G23" s="20" t="n">
        <v>18.6667</v>
      </c>
    </row>
    <row r="24">
      <c r="A24" s="10" t="inlineStr">
        <is>
          <t>Platform Team 6</t>
        </is>
      </c>
      <c r="B24" s="10" t="inlineStr">
        <is>
          <t>Venkata Mannam</t>
        </is>
      </c>
      <c r="C24" s="10" t="inlineStr">
        <is>
          <t>PT6-1419</t>
        </is>
      </c>
      <c r="D24" s="10" t="inlineStr">
        <is>
          <t>PT6-1419 Traefik migration V3</t>
        </is>
      </c>
      <c r="E24" s="10" t="inlineStr">
        <is>
          <t>PT6-1643</t>
        </is>
      </c>
      <c r="F24" s="10" t="inlineStr">
        <is>
          <t>Update Traefik to use OTel collector</t>
        </is>
      </c>
      <c r="G24" s="20" t="n">
        <v>16.2667</v>
      </c>
    </row>
    <row r="25">
      <c r="A25" s="10" t="inlineStr">
        <is>
          <t>Platform Team 6</t>
        </is>
      </c>
      <c r="B25" s="10" t="inlineStr">
        <is>
          <t>Venkata Mannam</t>
        </is>
      </c>
      <c r="C25" s="10" t="inlineStr">
        <is>
          <t>PT6-1419</t>
        </is>
      </c>
      <c r="D25" s="10" t="inlineStr">
        <is>
          <t>PT6-1419 Traefik migration V3</t>
        </is>
      </c>
      <c r="E25" s="10" t="inlineStr">
        <is>
          <t>PT6-1812</t>
        </is>
      </c>
      <c r="F25" s="10" t="inlineStr">
        <is>
          <t xml:space="preserve">Migrate all traefik k8s inbound resources to </t>
        </is>
      </c>
      <c r="G25" s="20" t="n">
        <v>10.6667</v>
      </c>
    </row>
    <row r="26">
      <c r="A26" s="10" t="inlineStr">
        <is>
          <t>Platform Team 6</t>
        </is>
      </c>
      <c r="B26" s="10" t="inlineStr">
        <is>
          <t>Venkata Mannam</t>
        </is>
      </c>
      <c r="C26" s="10" t="inlineStr">
        <is>
          <t>PT6-1419</t>
        </is>
      </c>
      <c r="D26" s="10" t="inlineStr">
        <is>
          <t>PT6-1419 Traefik migration V3</t>
        </is>
      </c>
      <c r="E26" s="10" t="inlineStr">
        <is>
          <t>PT6-1967</t>
        </is>
      </c>
      <c r="F26" s="10" t="inlineStr">
        <is>
          <t>PRD rollout Upgrade Traefik to V3 Ingress clu</t>
        </is>
      </c>
      <c r="G26" s="20" t="n">
        <v>9.6</v>
      </c>
    </row>
    <row r="27">
      <c r="A27" s="10" t="inlineStr">
        <is>
          <t>Platform Team 6</t>
        </is>
      </c>
      <c r="B27" s="10" t="inlineStr">
        <is>
          <t>Venkata Mannam</t>
        </is>
      </c>
      <c r="C27" s="10" t="inlineStr">
        <is>
          <t>PT6-1419</t>
        </is>
      </c>
      <c r="D27" s="10" t="inlineStr">
        <is>
          <t>PT6-1419 Traefik migration V3</t>
        </is>
      </c>
      <c r="E27" s="10" t="inlineStr">
        <is>
          <t>PT6-1644</t>
        </is>
      </c>
      <c r="F27" s="10" t="inlineStr">
        <is>
          <t xml:space="preserve">[TIMEBOX 2 DAYS]Ensure traefik trace metrics </t>
        </is>
      </c>
      <c r="G27" s="20" t="n">
        <v>4.2667</v>
      </c>
    </row>
    <row r="28">
      <c r="A28" s="10" t="inlineStr">
        <is>
          <t>Platform Team 6</t>
        </is>
      </c>
      <c r="B28" s="10" t="inlineStr">
        <is>
          <t>Venkata Mannam</t>
        </is>
      </c>
      <c r="C28" s="10" t="inlineStr">
        <is>
          <t>PT6-1710</t>
        </is>
      </c>
      <c r="D28" s="10" t="inlineStr">
        <is>
          <t xml:space="preserve">PT6-1710 K8s/Traefik Enhancements  </t>
        </is>
      </c>
      <c r="E28" s="10" t="inlineStr">
        <is>
          <t>PT6-1796</t>
        </is>
      </c>
      <c r="F28" s="10" t="inlineStr">
        <is>
          <t>Create traefik outbound dashboard</t>
        </is>
      </c>
      <c r="G28" s="20" t="n">
        <v>4</v>
      </c>
    </row>
    <row r="29">
      <c r="A29" s="10" t="inlineStr">
        <is>
          <t>Platform Team 6</t>
        </is>
      </c>
      <c r="B29" s="10" t="inlineStr">
        <is>
          <t>Iakovos Belonias</t>
        </is>
      </c>
      <c r="C29" s="10" t="inlineStr">
        <is>
          <t>PT6-1670</t>
        </is>
      </c>
      <c r="D29" s="10" t="inlineStr">
        <is>
          <t xml:space="preserve">PT6-1670 Multi region </t>
        </is>
      </c>
      <c r="E29" s="10" t="inlineStr">
        <is>
          <t>PT6-1895</t>
        </is>
      </c>
      <c r="F29" s="10" t="inlineStr">
        <is>
          <t>Traefik dashboard in central does not seem to</t>
        </is>
      </c>
      <c r="G29" s="20" t="n">
        <v>13.3333</v>
      </c>
    </row>
    <row r="30">
      <c r="A30" s="10" t="inlineStr">
        <is>
          <t>Platform Team 6</t>
        </is>
      </c>
      <c r="B30" s="10" t="inlineStr">
        <is>
          <t>Iakovos Belonias</t>
        </is>
      </c>
      <c r="C30" s="10" t="inlineStr">
        <is>
          <t>PT6-1710</t>
        </is>
      </c>
      <c r="D30" s="10" t="inlineStr">
        <is>
          <t xml:space="preserve">PT6-1710 K8s/Traefik Enhancements  </t>
        </is>
      </c>
      <c r="E30" s="10" t="inlineStr">
        <is>
          <t>PT6-1796</t>
        </is>
      </c>
      <c r="F30" s="10" t="inlineStr">
        <is>
          <t>Create traefik outbound dashboard</t>
        </is>
      </c>
      <c r="G30" s="20" t="n">
        <v>114.6667</v>
      </c>
    </row>
    <row r="31">
      <c r="A31" s="10" t="inlineStr">
        <is>
          <t>Platform Team 6</t>
        </is>
      </c>
      <c r="B31" s="10" t="inlineStr">
        <is>
          <t>Elton Qevani</t>
        </is>
      </c>
      <c r="C31" s="10" t="inlineStr">
        <is>
          <t>PT6-1670</t>
        </is>
      </c>
      <c r="D31" s="10" t="inlineStr">
        <is>
          <t xml:space="preserve">PT6-1670 Multi region </t>
        </is>
      </c>
      <c r="E31" s="10" t="inlineStr">
        <is>
          <t>PT6-1946</t>
        </is>
      </c>
      <c r="F31" s="10" t="inlineStr">
        <is>
          <t>[TIMEBOX 1 DAY]Investigate route53 health che</t>
        </is>
      </c>
      <c r="G31" s="20" t="n">
        <v>32</v>
      </c>
    </row>
    <row r="32">
      <c r="A32" s="10" t="inlineStr">
        <is>
          <t>Platform Team 6</t>
        </is>
      </c>
      <c r="B32" s="10" t="inlineStr">
        <is>
          <t>Elton Qevani</t>
        </is>
      </c>
      <c r="C32" s="10" t="inlineStr">
        <is>
          <t>PT6-1670</t>
        </is>
      </c>
      <c r="D32" s="10" t="inlineStr">
        <is>
          <t xml:space="preserve">PT6-1670 Multi region </t>
        </is>
      </c>
      <c r="E32" s="10" t="inlineStr">
        <is>
          <t>PT6-1921</t>
        </is>
      </c>
      <c r="F32" s="10" t="inlineStr">
        <is>
          <t>Support teams in multi-region deloyment</t>
        </is>
      </c>
      <c r="G32" s="20" t="n">
        <v>12</v>
      </c>
    </row>
    <row r="33">
      <c r="A33" s="10" t="inlineStr">
        <is>
          <t>Platform Team 6</t>
        </is>
      </c>
      <c r="B33" s="10" t="inlineStr">
        <is>
          <t>Elton Qevani</t>
        </is>
      </c>
      <c r="C33" s="10" t="inlineStr">
        <is>
          <t>PT6-1911</t>
        </is>
      </c>
      <c r="D33" s="10" t="inlineStr">
        <is>
          <t>PT6-1911 Observability</t>
        </is>
      </c>
      <c r="E33" s="10" t="inlineStr">
        <is>
          <t>PT6-1940</t>
        </is>
      </c>
      <c r="F33" s="10" t="inlineStr">
        <is>
          <t>Create lifecycle policies to attach to proper</t>
        </is>
      </c>
      <c r="G33" s="20" t="n">
        <v>32</v>
      </c>
    </row>
    <row r="34">
      <c r="A34" s="10" t="inlineStr">
        <is>
          <t>Platform Team 6</t>
        </is>
      </c>
      <c r="B34" s="10" t="inlineStr">
        <is>
          <t>Elton Qevani</t>
        </is>
      </c>
      <c r="C34" s="10" t="inlineStr">
        <is>
          <t>PT6-1911</t>
        </is>
      </c>
      <c r="D34" s="10" t="inlineStr">
        <is>
          <t>PT6-1911 Observability</t>
        </is>
      </c>
      <c r="E34" s="10" t="inlineStr">
        <is>
          <t>PT6-1956</t>
        </is>
      </c>
      <c r="F34" s="10" t="inlineStr">
        <is>
          <t xml:space="preserve">Create lifecycle policy for apm logs similar </t>
        </is>
      </c>
      <c r="G34" s="20" t="n">
        <v>32</v>
      </c>
    </row>
    <row r="35">
      <c r="A35" s="10" t="inlineStr">
        <is>
          <t>Platform Team 6</t>
        </is>
      </c>
      <c r="B35" s="10" t="inlineStr">
        <is>
          <t>Elton Qevani</t>
        </is>
      </c>
      <c r="C35" s="10" t="inlineStr">
        <is>
          <t>PT6-1911</t>
        </is>
      </c>
      <c r="D35" s="10" t="inlineStr">
        <is>
          <t>PT6-1911 Observability</t>
        </is>
      </c>
      <c r="E35" s="10" t="inlineStr">
        <is>
          <t>PT6-1941</t>
        </is>
      </c>
      <c r="F35" s="10" t="inlineStr">
        <is>
          <t>Set alarms for apm agent in aws</t>
        </is>
      </c>
      <c r="G35" s="20" t="n">
        <v>16</v>
      </c>
    </row>
    <row r="36">
      <c r="A36" s="10" t="inlineStr">
        <is>
          <t>Platform Team 6</t>
        </is>
      </c>
      <c r="B36" s="10" t="inlineStr">
        <is>
          <t>Mete Han Karacüllü</t>
        </is>
      </c>
      <c r="C36" s="10" t="inlineStr">
        <is>
          <t>PT6-1670</t>
        </is>
      </c>
      <c r="D36" s="10" t="inlineStr">
        <is>
          <t xml:space="preserve">PT6-1670 Multi region </t>
        </is>
      </c>
      <c r="E36" s="10" t="inlineStr">
        <is>
          <t>PT6-1945</t>
        </is>
      </c>
      <c r="F36" s="10" t="inlineStr">
        <is>
          <t>Create peering from org vpc in central to vpc</t>
        </is>
      </c>
      <c r="G36" s="20" t="n">
        <v>28</v>
      </c>
    </row>
    <row r="37">
      <c r="A37" s="10" t="inlineStr">
        <is>
          <t>Platform Team 6</t>
        </is>
      </c>
      <c r="B37" s="10" t="inlineStr">
        <is>
          <t>Mete Han Karacüllü</t>
        </is>
      </c>
      <c r="C37" s="10" t="inlineStr">
        <is>
          <t>PT6-1670</t>
        </is>
      </c>
      <c r="D37" s="10" t="inlineStr">
        <is>
          <t xml:space="preserve">PT6-1670 Multi region </t>
        </is>
      </c>
      <c r="E37" s="10" t="inlineStr">
        <is>
          <t>PT6-1933</t>
        </is>
      </c>
      <c r="F37" s="10" t="inlineStr">
        <is>
          <t>Make it possible to reach NL account clusters</t>
        </is>
      </c>
      <c r="G37" s="20" t="n">
        <v>18.6667</v>
      </c>
    </row>
    <row r="38">
      <c r="A38" s="10" t="inlineStr">
        <is>
          <t>Platform Team 6</t>
        </is>
      </c>
      <c r="B38" s="10" t="inlineStr">
        <is>
          <t>Mete Han Karacüllü</t>
        </is>
      </c>
      <c r="C38" s="10" t="inlineStr">
        <is>
          <t>PT6-1670</t>
        </is>
      </c>
      <c r="D38" s="10" t="inlineStr">
        <is>
          <t xml:space="preserve">PT6-1670 Multi region </t>
        </is>
      </c>
      <c r="E38" s="10" t="inlineStr">
        <is>
          <t>PT6-1943</t>
        </is>
      </c>
      <c r="F38" s="10" t="inlineStr">
        <is>
          <t>Modify traefik ingress config to deploy to bo</t>
        </is>
      </c>
      <c r="G38" s="20" t="n">
        <v>10.6667</v>
      </c>
    </row>
    <row r="39">
      <c r="A39" s="10" t="inlineStr">
        <is>
          <t>Team Horizon</t>
        </is>
      </c>
      <c r="B39" s="10" t="inlineStr">
        <is>
          <t>Péter Veres</t>
        </is>
      </c>
      <c r="C39" s="10" t="inlineStr">
        <is>
          <t>SUK-5790</t>
        </is>
      </c>
      <c r="D39" s="10" t="inlineStr">
        <is>
          <t>SUK-5790 VOP Improvements  - 2025</t>
        </is>
      </c>
      <c r="E39" s="10" t="inlineStr">
        <is>
          <t>SUK-5805</t>
        </is>
      </c>
      <c r="F39" s="10" t="inlineStr">
        <is>
          <t xml:space="preserve">[VOP] Review application log levels for both </t>
        </is>
      </c>
      <c r="G39" s="20" t="n">
        <v>102.6667</v>
      </c>
    </row>
    <row r="40">
      <c r="A40" s="10" t="inlineStr">
        <is>
          <t>Team Horizon</t>
        </is>
      </c>
      <c r="B40" s="10" t="inlineStr">
        <is>
          <t>Péter Veres</t>
        </is>
      </c>
      <c r="C40" s="10" t="inlineStr">
        <is>
          <t>SUK-5790</t>
        </is>
      </c>
      <c r="D40" s="10" t="inlineStr">
        <is>
          <t>SUK-5790 VOP Improvements  - 2025</t>
        </is>
      </c>
      <c r="E40" s="10" t="inlineStr">
        <is>
          <t>SUK-5871</t>
        </is>
      </c>
      <c r="F40" s="10" t="inlineStr">
        <is>
          <t>[VOP-Inbound] Audit Log - IBAN un Masking</t>
        </is>
      </c>
      <c r="G40" s="20" t="n">
        <v>10.6667</v>
      </c>
    </row>
    <row r="41">
      <c r="A41" s="10" t="inlineStr">
        <is>
          <t>Team Horizon</t>
        </is>
      </c>
      <c r="B41" s="10" t="inlineStr">
        <is>
          <t>Péter Veres</t>
        </is>
      </c>
      <c r="C41" s="10" t="inlineStr">
        <is>
          <t>SUK-5790</t>
        </is>
      </c>
      <c r="D41" s="10" t="inlineStr">
        <is>
          <t>SUK-5790 VOP Improvements  - 2025</t>
        </is>
      </c>
      <c r="E41" s="10" t="inlineStr">
        <is>
          <t>SUK-5896</t>
        </is>
      </c>
      <c r="F41" s="10" t="inlineStr">
        <is>
          <t>[VOP-Outbound]Update the requesting bic based</t>
        </is>
      </c>
      <c r="G41" s="20" t="n">
        <v>4</v>
      </c>
    </row>
    <row r="42">
      <c r="A42" s="10" t="inlineStr">
        <is>
          <t>Team Horizon</t>
        </is>
      </c>
      <c r="B42" s="10" t="inlineStr">
        <is>
          <t>Péter Veres</t>
        </is>
      </c>
      <c r="C42" s="10" t="inlineStr">
        <is>
          <t>SUK-5790</t>
        </is>
      </c>
      <c r="D42" s="10" t="inlineStr">
        <is>
          <t>SUK-5790 VOP Improvements  - 2025</t>
        </is>
      </c>
      <c r="E42" s="10" t="inlineStr">
        <is>
          <t>SUK-5838</t>
        </is>
      </c>
      <c r="F42" s="10" t="inlineStr">
        <is>
          <t>[VOP-Outbound] Audit Log - IBAN un Masking</t>
        </is>
      </c>
      <c r="G42" s="20" t="n">
        <v>2.6667</v>
      </c>
    </row>
    <row r="43">
      <c r="A43" s="10" t="inlineStr">
        <is>
          <t>Team Horizon</t>
        </is>
      </c>
      <c r="B43" s="10" t="inlineStr">
        <is>
          <t>Arpit Dahiya</t>
        </is>
      </c>
      <c r="C43" s="10" t="inlineStr">
        <is>
          <t>SUK-5790</t>
        </is>
      </c>
      <c r="D43" s="10" t="inlineStr">
        <is>
          <t>SUK-5790 VOP Improvements  - 2025</t>
        </is>
      </c>
      <c r="E43" s="10" t="inlineStr">
        <is>
          <t>SUK-5784</t>
        </is>
      </c>
      <c r="F43" s="10" t="inlineStr">
        <is>
          <t>VOP Outbound Adapter Audit :  Add Bank Metada</t>
        </is>
      </c>
      <c r="G43" s="20" t="n">
        <v>72</v>
      </c>
    </row>
    <row r="44">
      <c r="A44" s="10" t="inlineStr">
        <is>
          <t>Team Horizon</t>
        </is>
      </c>
      <c r="B44" s="10" t="inlineStr">
        <is>
          <t>Arpit Dahiya</t>
        </is>
      </c>
      <c r="C44" s="10" t="inlineStr">
        <is>
          <t>SUK-5790</t>
        </is>
      </c>
      <c r="D44" s="10" t="inlineStr">
        <is>
          <t>SUK-5790 VOP Improvements  - 2025</t>
        </is>
      </c>
      <c r="E44" s="10" t="inlineStr">
        <is>
          <t>SUK-5928</t>
        </is>
      </c>
      <c r="F44" s="10" t="inlineStr">
        <is>
          <t>Outbound Adapter portforwarding script parame</t>
        </is>
      </c>
      <c r="G44" s="20" t="n">
        <v>16</v>
      </c>
    </row>
    <row r="45">
      <c r="A45" s="10" t="inlineStr">
        <is>
          <t>Team Horizon</t>
        </is>
      </c>
      <c r="B45" s="10" t="inlineStr">
        <is>
          <t>Arpit Dahiya</t>
        </is>
      </c>
      <c r="C45" s="10" t="inlineStr">
        <is>
          <t>SUK-5790</t>
        </is>
      </c>
      <c r="D45" s="10" t="inlineStr">
        <is>
          <t>SUK-5790 VOP Improvements  - 2025</t>
        </is>
      </c>
      <c r="E45" s="10" t="inlineStr">
        <is>
          <t>SUK-5864</t>
        </is>
      </c>
      <c r="F45" s="10" t="inlineStr">
        <is>
          <t xml:space="preserve">[VOP-Outbound][VOP-Inbound] Bad request sent </t>
        </is>
      </c>
      <c r="G45" s="20" t="n">
        <v>12</v>
      </c>
    </row>
    <row r="46">
      <c r="A46" s="10" t="inlineStr">
        <is>
          <t>Team Horizon</t>
        </is>
      </c>
      <c r="B46" s="10" t="inlineStr">
        <is>
          <t>Arpit Dahiya</t>
        </is>
      </c>
      <c r="C46" s="10" t="inlineStr">
        <is>
          <t>SUK-5790</t>
        </is>
      </c>
      <c r="D46" s="10" t="inlineStr">
        <is>
          <t>SUK-5790 VOP Improvements  - 2025</t>
        </is>
      </c>
      <c r="E46" s="10" t="inlineStr">
        <is>
          <t>SUK-5896</t>
        </is>
      </c>
      <c r="F46" s="10" t="inlineStr">
        <is>
          <t>[VOP-Outbound]Update the requesting bic based</t>
        </is>
      </c>
      <c r="G46" s="20" t="n">
        <v>8</v>
      </c>
    </row>
    <row r="47">
      <c r="A47" s="10" t="inlineStr">
        <is>
          <t>Team Horizon</t>
        </is>
      </c>
      <c r="B47" s="10" t="inlineStr">
        <is>
          <t>Ryan Shepherd</t>
        </is>
      </c>
      <c r="C47" s="10" t="inlineStr">
        <is>
          <t>SUK-5790</t>
        </is>
      </c>
      <c r="D47" s="10" t="inlineStr">
        <is>
          <t>SUK-5790 VOP Improvements  - 2025</t>
        </is>
      </c>
      <c r="E47" s="10" t="inlineStr">
        <is>
          <t>SUK-5865</t>
        </is>
      </c>
      <c r="F47" s="10" t="inlineStr">
        <is>
          <t xml:space="preserve">[VOP-Outbound] (tech debt) - replace org/vop </t>
        </is>
      </c>
      <c r="G47" s="20" t="n">
        <v>73.33329999999999</v>
      </c>
    </row>
    <row r="48">
      <c r="A48" s="10" t="inlineStr">
        <is>
          <t>Team Horizon</t>
        </is>
      </c>
      <c r="B48" s="10" t="inlineStr">
        <is>
          <t>veronica.hvaal</t>
        </is>
      </c>
      <c r="C48" s="10" t="inlineStr">
        <is>
          <t>SUK-5751</t>
        </is>
      </c>
      <c r="D48" s="10" t="inlineStr">
        <is>
          <t xml:space="preserve">SUK-5751 VOP Multi Region </t>
        </is>
      </c>
      <c r="E48" s="10" t="inlineStr">
        <is>
          <t>SUK-5919</t>
        </is>
      </c>
      <c r="F48" s="10" t="inlineStr">
        <is>
          <t>[Vop Inbound] Split mutli region traffic to 5</t>
        </is>
      </c>
      <c r="G48" s="20" t="n">
        <v>12</v>
      </c>
    </row>
    <row r="49">
      <c r="A49" s="10" t="inlineStr">
        <is>
          <t>Team Horizon</t>
        </is>
      </c>
      <c r="B49" s="10" t="inlineStr">
        <is>
          <t>veronica.hvaal</t>
        </is>
      </c>
      <c r="C49" s="10" t="inlineStr">
        <is>
          <t>SUK-5790</t>
        </is>
      </c>
      <c r="D49" s="10" t="inlineStr">
        <is>
          <t>SUK-5790 VOP Improvements  - 2025</t>
        </is>
      </c>
      <c r="E49" s="10" t="inlineStr">
        <is>
          <t>SUK-5895</t>
        </is>
      </c>
      <c r="F49" s="10" t="inlineStr">
        <is>
          <t>[ACC-EU] Update EDS endpoint details to Produ</t>
        </is>
      </c>
      <c r="G49" s="20" t="n">
        <v>24</v>
      </c>
    </row>
    <row r="50">
      <c r="A50" s="10" t="inlineStr">
        <is>
          <t>Team Horizon</t>
        </is>
      </c>
      <c r="B50" s="10" t="inlineStr">
        <is>
          <t>veronica.hvaal</t>
        </is>
      </c>
      <c r="C50" s="10" t="inlineStr">
        <is>
          <t>SUK-5790</t>
        </is>
      </c>
      <c r="D50" s="10" t="inlineStr">
        <is>
          <t>SUK-5790 VOP Improvements  - 2025</t>
        </is>
      </c>
      <c r="E50" s="10" t="inlineStr">
        <is>
          <t>SUK-5903</t>
        </is>
      </c>
      <c r="F50" s="10" t="inlineStr">
        <is>
          <t>Downscale vop outbound</t>
        </is>
      </c>
      <c r="G50" s="20" t="n">
        <v>8</v>
      </c>
    </row>
    <row r="51">
      <c r="A51" s="10" t="inlineStr">
        <is>
          <t>Team Horizon</t>
        </is>
      </c>
      <c r="B51" s="10" t="inlineStr">
        <is>
          <t>Adorjan Fritz</t>
        </is>
      </c>
      <c r="C51" s="10" t="inlineStr">
        <is>
          <t>SUK-5751</t>
        </is>
      </c>
      <c r="D51" s="10" t="inlineStr">
        <is>
          <t xml:space="preserve">SUK-5751 VOP Multi Region </t>
        </is>
      </c>
      <c r="E51" s="10" t="inlineStr">
        <is>
          <t>SUK-5873</t>
        </is>
      </c>
      <c r="F51" s="10" t="inlineStr">
        <is>
          <t xml:space="preserve">[VOP-Inbound] Tenant name is unknown for the </t>
        </is>
      </c>
      <c r="G51" s="20" t="n">
        <v>3.6</v>
      </c>
    </row>
    <row r="52">
      <c r="A52" s="10" t="inlineStr">
        <is>
          <t>Team Horizon</t>
        </is>
      </c>
      <c r="B52" s="10" t="inlineStr">
        <is>
          <t>Adorjan Fritz</t>
        </is>
      </c>
      <c r="C52" s="10" t="inlineStr">
        <is>
          <t>SUK-5751</t>
        </is>
      </c>
      <c r="D52" s="10" t="inlineStr">
        <is>
          <t xml:space="preserve">SUK-5751 VOP Multi Region </t>
        </is>
      </c>
      <c r="E52" s="10" t="inlineStr">
        <is>
          <t>SUK-5883</t>
        </is>
      </c>
      <c r="F52" s="10" t="inlineStr">
        <is>
          <t>Sentry monitoring is DOWN after multiregion c</t>
        </is>
      </c>
      <c r="G52" s="20" t="n">
        <v>1.6</v>
      </c>
    </row>
    <row r="53">
      <c r="A53" s="10" t="inlineStr">
        <is>
          <t>Team Horizon</t>
        </is>
      </c>
      <c r="B53" s="10" t="inlineStr">
        <is>
          <t>Adorjan Fritz</t>
        </is>
      </c>
      <c r="C53" s="10" t="inlineStr">
        <is>
          <t>SUK-5790</t>
        </is>
      </c>
      <c r="D53" s="10" t="inlineStr">
        <is>
          <t>SUK-5790 VOP Improvements  - 2025</t>
        </is>
      </c>
      <c r="E53" s="10" t="inlineStr">
        <is>
          <t>SUK-5785</t>
        </is>
      </c>
      <c r="F53" s="10" t="inlineStr">
        <is>
          <t>VOP Inbound Adapter Audit :  Add Bank Metadat</t>
        </is>
      </c>
      <c r="G53" s="20" t="n">
        <v>30.2667</v>
      </c>
    </row>
    <row r="54">
      <c r="A54" s="10" t="inlineStr">
        <is>
          <t>Team Horizon</t>
        </is>
      </c>
      <c r="B54" s="10" t="inlineStr">
        <is>
          <t>Adorjan Fritz</t>
        </is>
      </c>
      <c r="C54" s="10" t="inlineStr">
        <is>
          <t>SUK-5790</t>
        </is>
      </c>
      <c r="D54" s="10" t="inlineStr">
        <is>
          <t>SUK-5790 VOP Improvements  - 2025</t>
        </is>
      </c>
      <c r="E54" s="10" t="inlineStr">
        <is>
          <t>SUK-5868</t>
        </is>
      </c>
      <c r="F54" s="10" t="inlineStr">
        <is>
          <t>[eds-directory-processor] Update lambda to fe</t>
        </is>
      </c>
      <c r="G54" s="20" t="n">
        <v>3.6</v>
      </c>
    </row>
    <row r="55">
      <c r="A55" s="10" t="inlineStr">
        <is>
          <t>Team Horizon</t>
        </is>
      </c>
      <c r="B55" s="10" t="inlineStr">
        <is>
          <t>Adorjan Fritz</t>
        </is>
      </c>
      <c r="C55" s="10" t="inlineStr">
        <is>
          <t>SUK-5790</t>
        </is>
      </c>
      <c r="D55" s="10" t="inlineStr">
        <is>
          <t>SUK-5790 VOP Improvements  - 2025</t>
        </is>
      </c>
      <c r="E55" s="10" t="inlineStr">
        <is>
          <t>SUK-5869</t>
        </is>
      </c>
      <c r="F55" s="10" t="inlineStr">
        <is>
          <t>[VOP-Inbound] Set the tenant value in x-custo</t>
        </is>
      </c>
      <c r="G55" s="20" t="n">
        <v>3.6</v>
      </c>
    </row>
    <row r="56">
      <c r="A56" s="10" t="inlineStr">
        <is>
          <t>Team Horizon</t>
        </is>
      </c>
      <c r="B56" s="10" t="inlineStr">
        <is>
          <t>Julian Mulder</t>
        </is>
      </c>
      <c r="C56" s="10" t="inlineStr">
        <is>
          <t>SUK-5790</t>
        </is>
      </c>
      <c r="D56" s="10" t="inlineStr">
        <is>
          <t>SUK-5790 VOP Improvements  - 2025</t>
        </is>
      </c>
      <c r="E56" s="10" t="inlineStr">
        <is>
          <t>SUK-5891</t>
        </is>
      </c>
      <c r="F56" s="10" t="inlineStr">
        <is>
          <t>[TST-EU] [ACC-EU] Create a role that has acce</t>
        </is>
      </c>
      <c r="G56" s="20" t="n">
        <v>16.9333</v>
      </c>
    </row>
    <row r="57">
      <c r="A57" s="10" t="inlineStr">
        <is>
          <t>Team Horizon</t>
        </is>
      </c>
      <c r="B57" s="10" t="inlineStr">
        <is>
          <t>Julian Mulder</t>
        </is>
      </c>
      <c r="C57" s="10" t="inlineStr">
        <is>
          <t>SUK-5790</t>
        </is>
      </c>
      <c r="D57" s="10" t="inlineStr">
        <is>
          <t>SUK-5790 VOP Improvements  - 2025</t>
        </is>
      </c>
      <c r="E57" s="10" t="inlineStr">
        <is>
          <t>SUK-5890</t>
        </is>
      </c>
      <c r="F57" s="10" t="inlineStr">
        <is>
          <t>[EU-VOP][ACC-EU] Investigate exposure of outb</t>
        </is>
      </c>
      <c r="G57" s="20" t="n">
        <v>12.2667</v>
      </c>
    </row>
    <row r="58">
      <c r="A58" s="10" t="inlineStr">
        <is>
          <t>Team Horizon</t>
        </is>
      </c>
      <c r="B58" s="10" t="inlineStr">
        <is>
          <t>Prabhukiran Narava</t>
        </is>
      </c>
      <c r="C58" s="10" t="inlineStr">
        <is>
          <t>SUK-5790</t>
        </is>
      </c>
      <c r="D58" s="10" t="inlineStr">
        <is>
          <t>SUK-5790 VOP Improvements  - 2025</t>
        </is>
      </c>
      <c r="E58" s="10" t="inlineStr">
        <is>
          <t>SUK-5784</t>
        </is>
      </c>
      <c r="F58" s="10" t="inlineStr">
        <is>
          <t>VOP Outbound Adapter Audit :  Add Bank Metada</t>
        </is>
      </c>
      <c r="G58" s="20" t="n">
        <v>6</v>
      </c>
    </row>
    <row r="59">
      <c r="A59" s="10" t="inlineStr">
        <is>
          <t>Team Horizon</t>
        </is>
      </c>
      <c r="B59" s="10" t="inlineStr">
        <is>
          <t>Prabhukiran Narava</t>
        </is>
      </c>
      <c r="C59" s="10" t="inlineStr">
        <is>
          <t>SUK-5790</t>
        </is>
      </c>
      <c r="D59" s="10" t="inlineStr">
        <is>
          <t>SUK-5790 VOP Improvements  - 2025</t>
        </is>
      </c>
      <c r="E59" s="10" t="inlineStr">
        <is>
          <t>SUK-5865</t>
        </is>
      </c>
      <c r="F59" s="10" t="inlineStr">
        <is>
          <t xml:space="preserve">[VOP-Outbound] (tech debt) - replace org/vop </t>
        </is>
      </c>
      <c r="G59" s="20" t="n">
        <v>6</v>
      </c>
    </row>
    <row r="60">
      <c r="A60" s="10" t="inlineStr">
        <is>
          <t>Team Horizon</t>
        </is>
      </c>
      <c r="B60" s="10" t="inlineStr">
        <is>
          <t>Prabhukiran Narava</t>
        </is>
      </c>
      <c r="C60" s="10" t="inlineStr">
        <is>
          <t>SUK-5790</t>
        </is>
      </c>
      <c r="D60" s="10" t="inlineStr">
        <is>
          <t>SUK-5790 VOP Improvements  - 2025</t>
        </is>
      </c>
      <c r="E60" s="10" t="inlineStr">
        <is>
          <t>SUK-5928</t>
        </is>
      </c>
      <c r="F60" s="10" t="inlineStr">
        <is>
          <t>Outbound Adapter portforwarding script parame</t>
        </is>
      </c>
      <c r="G60" s="20" t="n">
        <v>1.3333</v>
      </c>
    </row>
    <row r="61">
      <c r="A61" s="10" t="inlineStr">
        <is>
          <t>Team Horizon</t>
        </is>
      </c>
      <c r="B61" s="10" t="inlineStr">
        <is>
          <t>Nikolay Antonov</t>
        </is>
      </c>
      <c r="C61" s="10" t="inlineStr">
        <is>
          <t>SUK-5790</t>
        </is>
      </c>
      <c r="D61" s="10" t="inlineStr">
        <is>
          <t>SUK-5790 VOP Improvements  - 2025</t>
        </is>
      </c>
      <c r="E61" s="10" t="inlineStr">
        <is>
          <t>SUK-5948</t>
        </is>
      </c>
      <c r="F61" s="10" t="inlineStr">
        <is>
          <t>[EU-VOP] Disable/Update kms key policy on vop</t>
        </is>
      </c>
      <c r="G61" s="20" t="n">
        <v>6.2857</v>
      </c>
    </row>
    <row r="62">
      <c r="A62" s="10" t="inlineStr">
        <is>
          <t>Team Ikigai</t>
        </is>
      </c>
      <c r="B62" s="10" t="inlineStr">
        <is>
          <t>Diego Silva</t>
        </is>
      </c>
      <c r="C62" s="10" t="inlineStr">
        <is>
          <t>SPD-2749</t>
        </is>
      </c>
      <c r="D62" s="10" t="inlineStr">
        <is>
          <t>SPD-2749 VoP Data Hosting Ingester v1</t>
        </is>
      </c>
      <c r="E62" s="10" t="inlineStr">
        <is>
          <t>SPD-2828</t>
        </is>
      </c>
      <c r="F62" s="10" t="inlineStr">
        <is>
          <t xml:space="preserve">ECS Cluster Documentation </t>
        </is>
      </c>
      <c r="G62" s="20" t="n">
        <v>160</v>
      </c>
    </row>
    <row r="63">
      <c r="A63" s="10" t="inlineStr">
        <is>
          <t>Team Ikigai</t>
        </is>
      </c>
      <c r="B63" s="10" t="inlineStr">
        <is>
          <t>borys.rudenko</t>
        </is>
      </c>
      <c r="C63" s="10" t="inlineStr">
        <is>
          <t>SDO-7745</t>
        </is>
      </c>
      <c r="D63" s="10" t="inlineStr">
        <is>
          <t>SDO-7745 UnstructuredRemittanceInformation</t>
        </is>
      </c>
      <c r="E63" s="10" t="inlineStr">
        <is>
          <t>SPD-3311</t>
        </is>
      </c>
      <c r="F63" s="10" t="inlineStr">
        <is>
          <t xml:space="preserve">Get URI solution to PRD </t>
        </is>
      </c>
      <c r="G63" s="20" t="n">
        <v>64.2667</v>
      </c>
    </row>
    <row r="64">
      <c r="A64" s="10" t="inlineStr">
        <is>
          <t>Team Ikigai</t>
        </is>
      </c>
      <c r="B64" s="10" t="inlineStr">
        <is>
          <t>borys.rudenko</t>
        </is>
      </c>
      <c r="C64" s="10" t="inlineStr">
        <is>
          <t>SDO-7745</t>
        </is>
      </c>
      <c r="D64" s="10" t="inlineStr">
        <is>
          <t>SDO-7745 UnstructuredRemittanceInformation</t>
        </is>
      </c>
      <c r="E64" s="10" t="inlineStr">
        <is>
          <t>SPD-3346</t>
        </is>
      </c>
      <c r="F64" s="10" t="inlineStr">
        <is>
          <t>Unstructured Remittance Information post rele</t>
        </is>
      </c>
      <c r="G64" s="20" t="n">
        <v>14.9333</v>
      </c>
    </row>
    <row r="65">
      <c r="A65" s="10" t="inlineStr">
        <is>
          <t>Team Ikigai</t>
        </is>
      </c>
      <c r="B65" s="10" t="inlineStr">
        <is>
          <t>borys.rudenko</t>
        </is>
      </c>
      <c r="C65" s="10" t="inlineStr">
        <is>
          <t>SDO-7745</t>
        </is>
      </c>
      <c r="D65" s="10" t="inlineStr">
        <is>
          <t>SDO-7745 UnstructuredRemittanceInformation</t>
        </is>
      </c>
      <c r="E65" s="10" t="inlineStr">
        <is>
          <t>SPD-3347</t>
        </is>
      </c>
      <c r="F65" s="10" t="inlineStr">
        <is>
          <t>Refresh index async to avoid possible timeout</t>
        </is>
      </c>
      <c r="G65" s="20" t="n">
        <v>14.9333</v>
      </c>
    </row>
    <row r="66">
      <c r="A66" s="10" t="inlineStr">
        <is>
          <t>Team Ikigai</t>
        </is>
      </c>
      <c r="B66" s="10" t="inlineStr">
        <is>
          <t>borys.rudenko</t>
        </is>
      </c>
      <c r="C66" s="10" t="inlineStr">
        <is>
          <t>SDO-7745</t>
        </is>
      </c>
      <c r="D66" s="10" t="inlineStr">
        <is>
          <t>SDO-7745 UnstructuredRemittanceInformation</t>
        </is>
      </c>
      <c r="E66" s="10" t="inlineStr">
        <is>
          <t>SPD-3348</t>
        </is>
      </c>
      <c r="F66" s="10" t="inlineStr">
        <is>
          <t>Add force merge on ingestion</t>
        </is>
      </c>
      <c r="G66" s="20" t="n">
        <v>14.9333</v>
      </c>
    </row>
    <row r="67">
      <c r="A67" s="10" t="inlineStr">
        <is>
          <t>Team Ikigai</t>
        </is>
      </c>
      <c r="B67" s="10" t="inlineStr">
        <is>
          <t>borys.rudenko</t>
        </is>
      </c>
      <c r="C67" s="10" t="inlineStr">
        <is>
          <t>SDO-7745</t>
        </is>
      </c>
      <c r="D67" s="10" t="inlineStr">
        <is>
          <t>SDO-7745 UnstructuredRemittanceInformation</t>
        </is>
      </c>
      <c r="E67" s="10" t="inlineStr">
        <is>
          <t>SPD-3349</t>
        </is>
      </c>
      <c r="F67" s="10" t="inlineStr">
        <is>
          <t>Search for an IBAN on the index created to en</t>
        </is>
      </c>
      <c r="G67" s="20" t="n">
        <v>14.9333</v>
      </c>
    </row>
    <row r="68">
      <c r="A68" s="10" t="inlineStr">
        <is>
          <t>Team Ikigai</t>
        </is>
      </c>
      <c r="B68" s="10" t="inlineStr">
        <is>
          <t>borys.rudenko</t>
        </is>
      </c>
      <c r="C68" s="10" t="inlineStr">
        <is>
          <t>SPD-3381</t>
        </is>
      </c>
      <c r="D68" s="10" t="inlineStr">
        <is>
          <t>SPD-3381 Multi Region</t>
        </is>
      </c>
      <c r="E68" s="10" t="inlineStr">
        <is>
          <t>SPD-3403</t>
        </is>
      </c>
      <c r="F68" s="10" t="inlineStr">
        <is>
          <t xml:space="preserve">[VoP Datahosting] Fix the code in api app to </t>
        </is>
      </c>
      <c r="G68" s="20" t="n">
        <v>30.6667</v>
      </c>
    </row>
    <row r="69">
      <c r="A69" s="10" t="inlineStr">
        <is>
          <t>Team Ikigai</t>
        </is>
      </c>
      <c r="B69" s="10" t="inlineStr">
        <is>
          <t>Chaitanya Sagi</t>
        </is>
      </c>
      <c r="C69" s="10" t="inlineStr">
        <is>
          <t>SPD-3381</t>
        </is>
      </c>
      <c r="D69" s="10" t="inlineStr">
        <is>
          <t>SPD-3381 Multi Region</t>
        </is>
      </c>
      <c r="E69" s="10" t="inlineStr">
        <is>
          <t>SPD-3402</t>
        </is>
      </c>
      <c r="F69" s="10" t="inlineStr">
        <is>
          <t>[VoP Datahosting] Automate the creation of co</t>
        </is>
      </c>
      <c r="G69" s="20" t="n">
        <v>100</v>
      </c>
    </row>
    <row r="70">
      <c r="A70" s="10" t="inlineStr">
        <is>
          <t>Team Ikigai</t>
        </is>
      </c>
      <c r="B70" s="10" t="inlineStr">
        <is>
          <t>Chaitanya Sagi</t>
        </is>
      </c>
      <c r="C70" s="10" t="inlineStr">
        <is>
          <t>SPD-3381</t>
        </is>
      </c>
      <c r="D70" s="10" t="inlineStr">
        <is>
          <t>SPD-3381 Multi Region</t>
        </is>
      </c>
      <c r="E70" s="10" t="inlineStr">
        <is>
          <t>SPD-3400</t>
        </is>
      </c>
      <c r="F70" s="10" t="inlineStr">
        <is>
          <t>[VoP Datahosting] Provision Opensearch cluste</t>
        </is>
      </c>
      <c r="G70" s="20" t="n">
        <v>36</v>
      </c>
    </row>
    <row r="71">
      <c r="A71" s="10" t="inlineStr">
        <is>
          <t>Team Ikigai</t>
        </is>
      </c>
      <c r="B71" s="10" t="inlineStr">
        <is>
          <t>Chaitanya Sagi</t>
        </is>
      </c>
      <c r="C71" s="10" t="inlineStr">
        <is>
          <t>SPD-3381</t>
        </is>
      </c>
      <c r="D71" s="10" t="inlineStr">
        <is>
          <t>SPD-3381 Multi Region</t>
        </is>
      </c>
      <c r="E71" s="10" t="inlineStr">
        <is>
          <t>SPD-3391</t>
        </is>
      </c>
      <c r="F71" s="10" t="inlineStr">
        <is>
          <t>[INFRA] reduce duplication for regions in env</t>
        </is>
      </c>
      <c r="G71" s="20" t="n">
        <v>2.6667</v>
      </c>
    </row>
    <row r="72">
      <c r="A72" s="10" t="inlineStr">
        <is>
          <t>Team Ikigai</t>
        </is>
      </c>
      <c r="B72" s="10" t="inlineStr">
        <is>
          <t>Keerthi Shankar</t>
        </is>
      </c>
      <c r="C72" s="10" t="inlineStr">
        <is>
          <t>SPD-3341</t>
        </is>
      </c>
      <c r="D72" s="10" t="inlineStr">
        <is>
          <t>SPD-3341 VoP Data Hosting</t>
        </is>
      </c>
      <c r="E72" s="10" t="inlineStr">
        <is>
          <t>SPD-3342</t>
        </is>
      </c>
      <c r="F72" s="10" t="inlineStr">
        <is>
          <t xml:space="preserve">Allow one letter in AllFirstNames </t>
        </is>
      </c>
      <c r="G72" s="20" t="n">
        <v>10</v>
      </c>
    </row>
    <row r="73">
      <c r="A73" s="10" t="inlineStr">
        <is>
          <t>Team Ikigai</t>
        </is>
      </c>
      <c r="B73" s="10" t="inlineStr">
        <is>
          <t>Keerthi Shankar</t>
        </is>
      </c>
      <c r="C73" s="10" t="inlineStr">
        <is>
          <t>SPD-3368</t>
        </is>
      </c>
      <c r="D73" s="10" t="inlineStr">
        <is>
          <t>SPD-3368 VoP Bulk Checker v1.1</t>
        </is>
      </c>
      <c r="E73" s="10" t="inlineStr">
        <is>
          <t>SPD-3413</t>
        </is>
      </c>
      <c r="F73" s="10" t="inlineStr">
        <is>
          <t>Pick the right BIC in PAIN</t>
        </is>
      </c>
      <c r="G73" s="20" t="n">
        <v>27.3333</v>
      </c>
    </row>
    <row r="74">
      <c r="A74" s="10" t="inlineStr">
        <is>
          <t>Team Ikigai</t>
        </is>
      </c>
      <c r="B74" s="10" t="inlineStr">
        <is>
          <t>Keerthi Shankar</t>
        </is>
      </c>
      <c r="C74" s="10" t="inlineStr">
        <is>
          <t>SPD-3368</t>
        </is>
      </c>
      <c r="D74" s="10" t="inlineStr">
        <is>
          <t>SPD-3368 VoP Bulk Checker v1.1</t>
        </is>
      </c>
      <c r="E74" s="10" t="inlineStr">
        <is>
          <t>SPD-3439</t>
        </is>
      </c>
      <c r="F74" s="10" t="inlineStr">
        <is>
          <t>VoP Plus in Excel Result Files</t>
        </is>
      </c>
      <c r="G74" s="20" t="n">
        <v>8</v>
      </c>
    </row>
    <row r="75">
      <c r="A75" s="10" t="inlineStr">
        <is>
          <t>Team Ikigai</t>
        </is>
      </c>
      <c r="B75" s="10" t="inlineStr">
        <is>
          <t>Keerthi Shankar</t>
        </is>
      </c>
      <c r="C75" s="10" t="inlineStr">
        <is>
          <t>SPD-3368</t>
        </is>
      </c>
      <c r="D75" s="10" t="inlineStr">
        <is>
          <t>SPD-3368 VoP Bulk Checker v1.1</t>
        </is>
      </c>
      <c r="E75" s="10" t="inlineStr">
        <is>
          <t>SPD-3373</t>
        </is>
      </c>
      <c r="F75" s="10" t="inlineStr">
        <is>
          <t>Use ISO20022 XSDs for PAIN v3 and PAIN v9 ins</t>
        </is>
      </c>
      <c r="G75" s="20" t="n">
        <v>7.3333</v>
      </c>
    </row>
    <row r="76">
      <c r="A76" s="10" t="inlineStr">
        <is>
          <t>Team Ikigai</t>
        </is>
      </c>
      <c r="B76" s="10" t="inlineStr">
        <is>
          <t>Keerthi Shankar</t>
        </is>
      </c>
      <c r="C76" s="10" t="inlineStr">
        <is>
          <t>SPD-3368</t>
        </is>
      </c>
      <c r="D76" s="10" t="inlineStr">
        <is>
          <t>SPD-3368 VoP Bulk Checker v1.1</t>
        </is>
      </c>
      <c r="E76" s="10" t="inlineStr">
        <is>
          <t>SPD-3429</t>
        </is>
      </c>
      <c r="F76" s="10" t="inlineStr">
        <is>
          <t>Customize WAF rate limit exceeded response</t>
        </is>
      </c>
      <c r="G76" s="20" t="n">
        <v>6.6667</v>
      </c>
    </row>
    <row r="77">
      <c r="A77" s="10" t="inlineStr">
        <is>
          <t>Team Ikigai</t>
        </is>
      </c>
      <c r="B77" s="10" t="inlineStr">
        <is>
          <t>Keerthi Shankar</t>
        </is>
      </c>
      <c r="C77" s="10" t="inlineStr">
        <is>
          <t>SPD-3381</t>
        </is>
      </c>
      <c r="D77" s="10" t="inlineStr">
        <is>
          <t>SPD-3381 Multi Region</t>
        </is>
      </c>
      <c r="E77" s="10" t="inlineStr">
        <is>
          <t>SPD-3433</t>
        </is>
      </c>
      <c r="F77" s="10" t="inlineStr">
        <is>
          <t>[VoP Bulk Checker] Fix processor code and inf</t>
        </is>
      </c>
      <c r="G77" s="20" t="n">
        <v>12</v>
      </c>
    </row>
    <row r="78">
      <c r="A78" s="10" t="inlineStr">
        <is>
          <t>Team Ikigai</t>
        </is>
      </c>
      <c r="B78" s="10" t="inlineStr">
        <is>
          <t>Keerthi Shankar</t>
        </is>
      </c>
      <c r="C78" s="10" t="inlineStr">
        <is>
          <t>SPD-3381</t>
        </is>
      </c>
      <c r="D78" s="10" t="inlineStr">
        <is>
          <t>SPD-3381 Multi Region</t>
        </is>
      </c>
      <c r="E78" s="10" t="inlineStr">
        <is>
          <t>SPD-3409</t>
        </is>
      </c>
      <c r="F78" s="10" t="inlineStr">
        <is>
          <t>[VoP Bulk Checker] Deploy  S3 and SQS to cent</t>
        </is>
      </c>
      <c r="G78" s="20" t="n">
        <v>10</v>
      </c>
    </row>
    <row r="79">
      <c r="A79" s="10" t="inlineStr">
        <is>
          <t>Team Ikigai</t>
        </is>
      </c>
      <c r="B79" s="10" t="inlineStr">
        <is>
          <t>Keerthi Shankar</t>
        </is>
      </c>
      <c r="C79" s="10" t="inlineStr">
        <is>
          <t>SPD-3381</t>
        </is>
      </c>
      <c r="D79" s="10" t="inlineStr">
        <is>
          <t>SPD-3381 Multi Region</t>
        </is>
      </c>
      <c r="E79" s="10" t="inlineStr">
        <is>
          <t>SPD-3401</t>
        </is>
      </c>
      <c r="F79" s="10" t="inlineStr">
        <is>
          <t xml:space="preserve">[VoP Datahosting] Deploy Datahosting api app </t>
        </is>
      </c>
      <c r="G79" s="20" t="n">
        <v>8</v>
      </c>
    </row>
    <row r="80">
      <c r="A80" s="10" t="inlineStr">
        <is>
          <t>Team Ikigai</t>
        </is>
      </c>
      <c r="B80" s="10" t="inlineStr">
        <is>
          <t>Keerthi Shankar</t>
        </is>
      </c>
      <c r="C80" s="10" t="inlineStr">
        <is>
          <t>SPD-3381</t>
        </is>
      </c>
      <c r="D80" s="10" t="inlineStr">
        <is>
          <t>SPD-3381 Multi Region</t>
        </is>
      </c>
      <c r="E80" s="10" t="inlineStr">
        <is>
          <t>SPD-3442</t>
        </is>
      </c>
      <c r="F80" s="10" t="inlineStr">
        <is>
          <t>Promote VoP Bulk Check to prod for multi regi</t>
        </is>
      </c>
      <c r="G80" s="20" t="n">
        <v>8</v>
      </c>
    </row>
    <row r="81">
      <c r="A81" s="10" t="inlineStr">
        <is>
          <t>Team Ikigai</t>
        </is>
      </c>
      <c r="B81" s="10" t="inlineStr">
        <is>
          <t>Keerthi Shankar</t>
        </is>
      </c>
      <c r="C81" s="10" t="inlineStr">
        <is>
          <t>SPD-3381</t>
        </is>
      </c>
      <c r="D81" s="10" t="inlineStr">
        <is>
          <t>SPD-3381 Multi Region</t>
        </is>
      </c>
      <c r="E81" s="10" t="inlineStr">
        <is>
          <t>SPD-3407</t>
        </is>
      </c>
      <c r="F81" s="10" t="inlineStr">
        <is>
          <t>[VoP Bulk Checker] Deploy  converter to centr</t>
        </is>
      </c>
      <c r="G81" s="20" t="n">
        <v>5.3333</v>
      </c>
    </row>
    <row r="82">
      <c r="A82" s="10" t="inlineStr">
        <is>
          <t>Team Ikigai</t>
        </is>
      </c>
      <c r="B82" s="10" t="inlineStr">
        <is>
          <t>Keerthi Shankar</t>
        </is>
      </c>
      <c r="C82" s="10" t="inlineStr">
        <is>
          <t>SPD-3381</t>
        </is>
      </c>
      <c r="D82" s="10" t="inlineStr">
        <is>
          <t>SPD-3381 Multi Region</t>
        </is>
      </c>
      <c r="E82" s="10" t="inlineStr">
        <is>
          <t>SPD-3408</t>
        </is>
      </c>
      <c r="F82" s="10" t="inlineStr">
        <is>
          <t xml:space="preserve">[VoP Bulk Checker] Deploy webhook to central </t>
        </is>
      </c>
      <c r="G82" s="20" t="n">
        <v>5.3333</v>
      </c>
    </row>
    <row r="83">
      <c r="A83" s="10" t="inlineStr">
        <is>
          <t>Team Ikigai</t>
        </is>
      </c>
      <c r="B83" s="10" t="inlineStr">
        <is>
          <t>Keerthi Shankar</t>
        </is>
      </c>
      <c r="C83" s="10" t="inlineStr">
        <is>
          <t>SPD-3381</t>
        </is>
      </c>
      <c r="D83" s="10" t="inlineStr">
        <is>
          <t>SPD-3381 Multi Region</t>
        </is>
      </c>
      <c r="E83" s="10" t="inlineStr">
        <is>
          <t>SPD-3406</t>
        </is>
      </c>
      <c r="F83" s="10" t="inlineStr">
        <is>
          <t>[VoP Bulk Checker] Deploy processor to centra</t>
        </is>
      </c>
      <c r="G83" s="20" t="n">
        <v>4.6667</v>
      </c>
    </row>
    <row r="84">
      <c r="A84" s="10" t="inlineStr">
        <is>
          <t>Team Ikigai</t>
        </is>
      </c>
      <c r="B84" s="10" t="inlineStr">
        <is>
          <t>Keerthi Shankar</t>
        </is>
      </c>
      <c r="C84" s="10" t="inlineStr">
        <is>
          <t>SPD-3381</t>
        </is>
      </c>
      <c r="D84" s="10" t="inlineStr">
        <is>
          <t>SPD-3381 Multi Region</t>
        </is>
      </c>
      <c r="E84" s="10" t="inlineStr">
        <is>
          <t>SPD-3404</t>
        </is>
      </c>
      <c r="F84" s="10" t="inlineStr">
        <is>
          <t xml:space="preserve">[VoP Bulk Checker] Deploy  dispatcher lambda </t>
        </is>
      </c>
      <c r="G84" s="20" t="n">
        <v>2</v>
      </c>
    </row>
    <row r="85">
      <c r="A85" s="10" t="inlineStr">
        <is>
          <t>Team Ikigai</t>
        </is>
      </c>
      <c r="B85" s="10" t="inlineStr">
        <is>
          <t>Keerthi Shankar</t>
        </is>
      </c>
      <c r="C85" s="10" t="inlineStr">
        <is>
          <t>SPD-3381</t>
        </is>
      </c>
      <c r="D85" s="10" t="inlineStr">
        <is>
          <t>SPD-3381 Multi Region</t>
        </is>
      </c>
      <c r="E85" s="10" t="inlineStr">
        <is>
          <t>SPD-3405</t>
        </is>
      </c>
      <c r="F85" s="10" t="inlineStr">
        <is>
          <t>[VoP Bulk Checker] Deploy api to central regi</t>
        </is>
      </c>
      <c r="G85" s="20" t="n">
        <v>2</v>
      </c>
    </row>
    <row r="86">
      <c r="A86" s="10" t="inlineStr">
        <is>
          <t>Team Ikigai</t>
        </is>
      </c>
      <c r="B86" s="10" t="inlineStr">
        <is>
          <t>Gerard Veldman</t>
        </is>
      </c>
      <c r="C86" s="10" t="inlineStr">
        <is>
          <t>SPD-3236</t>
        </is>
      </c>
      <c r="D86" s="10" t="inlineStr">
        <is>
          <t>SPD-3236 VoP Bulk Checker performance improvement</t>
        </is>
      </c>
      <c r="E86" s="10" t="inlineStr">
        <is>
          <t>SPD-3256</t>
        </is>
      </c>
      <c r="F86" s="10" t="inlineStr">
        <is>
          <t>Support rate limiting</t>
        </is>
      </c>
      <c r="G86" s="20" t="n">
        <v>33.3143</v>
      </c>
    </row>
    <row r="87">
      <c r="A87" s="10" t="inlineStr">
        <is>
          <t>Team Ikigai</t>
        </is>
      </c>
      <c r="B87" s="10" t="inlineStr">
        <is>
          <t>Gerard Veldman</t>
        </is>
      </c>
      <c r="C87" s="10" t="inlineStr">
        <is>
          <t>SPD-3368</t>
        </is>
      </c>
      <c r="D87" s="10" t="inlineStr">
        <is>
          <t>SPD-3368 VoP Bulk Checker v1.1</t>
        </is>
      </c>
      <c r="E87" s="10" t="inlineStr">
        <is>
          <t>SPD-3377</t>
        </is>
      </c>
      <c r="F87" s="10" t="inlineStr">
        <is>
          <t>Review Bulk updates in Dev Portal</t>
        </is>
      </c>
      <c r="G87" s="20" t="n">
        <v>15.3143</v>
      </c>
    </row>
    <row r="88">
      <c r="A88" s="10" t="inlineStr">
        <is>
          <t>Team Ikigai</t>
        </is>
      </c>
      <c r="B88" s="10" t="inlineStr">
        <is>
          <t>Gerard Veldman</t>
        </is>
      </c>
      <c r="C88" s="10" t="inlineStr">
        <is>
          <t>SPD-3368</t>
        </is>
      </c>
      <c r="D88" s="10" t="inlineStr">
        <is>
          <t>SPD-3368 VoP Bulk Checker v1.1</t>
        </is>
      </c>
      <c r="E88" s="10" t="inlineStr">
        <is>
          <t>SPD-3370</t>
        </is>
      </c>
      <c r="F88" s="10" t="inlineStr">
        <is>
          <t>Check the limits of the Bulk processor and co</t>
        </is>
      </c>
      <c r="G88" s="20" t="n">
        <v>5.7143</v>
      </c>
    </row>
    <row r="89">
      <c r="A89" s="10" t="inlineStr">
        <is>
          <t>Team Ikigai</t>
        </is>
      </c>
      <c r="B89" s="10" t="inlineStr">
        <is>
          <t>Gerard Veldman</t>
        </is>
      </c>
      <c r="C89" s="10" t="inlineStr">
        <is>
          <t>SPD-3368</t>
        </is>
      </c>
      <c r="D89" s="10" t="inlineStr">
        <is>
          <t>SPD-3368 VoP Bulk Checker v1.1</t>
        </is>
      </c>
      <c r="E89" s="10" t="inlineStr">
        <is>
          <t>SPD-3446</t>
        </is>
      </c>
      <c r="F89" s="10" t="inlineStr">
        <is>
          <t>Scale bulk checker for multi region</t>
        </is>
      </c>
      <c r="G89" s="20" t="n">
        <v>5.1429</v>
      </c>
    </row>
    <row r="90">
      <c r="A90" s="10" t="inlineStr">
        <is>
          <t>Team Ikigai</t>
        </is>
      </c>
      <c r="B90" s="10" t="inlineStr">
        <is>
          <t>Gerard Veldman</t>
        </is>
      </c>
      <c r="C90" s="10" t="inlineStr">
        <is>
          <t>SPD-3368</t>
        </is>
      </c>
      <c r="D90" s="10" t="inlineStr">
        <is>
          <t>SPD-3368 VoP Bulk Checker v1.1</t>
        </is>
      </c>
      <c r="E90" s="10" t="inlineStr">
        <is>
          <t>SPD-3430</t>
        </is>
      </c>
      <c r="F90" s="10" t="inlineStr">
        <is>
          <t>Bring bulk YAML file up to date with actual i</t>
        </is>
      </c>
      <c r="G90" s="20" t="n">
        <v>2.4762</v>
      </c>
    </row>
    <row r="91">
      <c r="A91" s="10" t="inlineStr">
        <is>
          <t>Team Ikigai</t>
        </is>
      </c>
      <c r="B91" s="10" t="inlineStr">
        <is>
          <t>Gerard Veldman</t>
        </is>
      </c>
      <c r="C91" s="10" t="inlineStr">
        <is>
          <t>SPD-3381</t>
        </is>
      </c>
      <c r="D91" s="10" t="inlineStr">
        <is>
          <t>SPD-3381 Multi Region</t>
        </is>
      </c>
      <c r="E91" s="10" t="inlineStr">
        <is>
          <t>SPD-3437</t>
        </is>
      </c>
      <c r="F91" s="10" t="inlineStr">
        <is>
          <t>[VoP Bulk Checker] Fix Webhook connection iss</t>
        </is>
      </c>
      <c r="G91" s="20" t="n">
        <v>2.6667</v>
      </c>
    </row>
    <row r="92">
      <c r="A92" s="10" t="inlineStr">
        <is>
          <t>Team Ikigai</t>
        </is>
      </c>
      <c r="B92" s="10" t="inlineStr">
        <is>
          <t>Juanma Tastzian</t>
        </is>
      </c>
      <c r="C92" s="10" t="inlineStr">
        <is>
          <t>SDO-7526</t>
        </is>
      </c>
      <c r="D92" s="10" t="inlineStr">
        <is>
          <t>SDO-7526 VOP Algorithm Improvements</t>
        </is>
      </c>
      <c r="E92" s="10" t="inlineStr">
        <is>
          <t>SPD-3436</t>
        </is>
      </c>
      <c r="F92" s="10" t="inlineStr">
        <is>
          <t>A044 Herr Mann Mystery follow up</t>
        </is>
      </c>
      <c r="G92" s="20" t="n">
        <v>32</v>
      </c>
    </row>
    <row r="93">
      <c r="A93" s="10" t="inlineStr">
        <is>
          <t>Team Samba</t>
        </is>
      </c>
      <c r="B93" s="10" t="inlineStr">
        <is>
          <t>Ioannis Argyroulis</t>
        </is>
      </c>
      <c r="C93" s="10" t="inlineStr">
        <is>
          <t>SDO-7526</t>
        </is>
      </c>
      <c r="D93" s="10" t="inlineStr">
        <is>
          <t>SDO-7526 VOP Algorithm Improvements</t>
        </is>
      </c>
      <c r="E93" s="10" t="inlineStr">
        <is>
          <t>SDO-7964</t>
        </is>
      </c>
      <c r="F93" s="10" t="inlineStr">
        <is>
          <t xml:space="preserve">[Org API] Enable aggregating and matching on </t>
        </is>
      </c>
      <c r="G93" s="20" t="n">
        <v>12</v>
      </c>
    </row>
    <row r="94">
      <c r="A94" s="10" t="inlineStr">
        <is>
          <t>Team Samba</t>
        </is>
      </c>
      <c r="B94" s="10" t="inlineStr">
        <is>
          <t>Ioannis Argyroulis</t>
        </is>
      </c>
      <c r="C94" s="10" t="inlineStr">
        <is>
          <t>SDO-8067</t>
        </is>
      </c>
      <c r="D94" s="10" t="inlineStr">
        <is>
          <t>SDO-8067 Swift outbound v3</t>
        </is>
      </c>
      <c r="E94" s="10" t="inlineStr">
        <is>
          <t>SDO-7551</t>
        </is>
      </c>
      <c r="F94" s="10" t="inlineStr">
        <is>
          <t>[Swift Preval Service] Begin to upgrade to v3</t>
        </is>
      </c>
      <c r="G94" s="20" t="n">
        <v>92</v>
      </c>
    </row>
    <row r="95">
      <c r="A95" s="10" t="inlineStr">
        <is>
          <t>Team Samba</t>
        </is>
      </c>
      <c r="B95" s="10" t="inlineStr">
        <is>
          <t>Muhammad Sulaiman</t>
        </is>
      </c>
      <c r="C95" s="10" t="inlineStr">
        <is>
          <t>SDO-5021</t>
        </is>
      </c>
      <c r="D95" s="10" t="inlineStr">
        <is>
          <t xml:space="preserve">SDO-5021 Service Improvements </t>
        </is>
      </c>
      <c r="E95" s="10" t="inlineStr">
        <is>
          <t>SDO-7478</t>
        </is>
      </c>
      <c r="F95" s="10" t="inlineStr">
        <is>
          <t xml:space="preserve">[Automation] monitoring for certs created by </t>
        </is>
      </c>
      <c r="G95" s="20" t="n">
        <v>47.6</v>
      </c>
    </row>
    <row r="96">
      <c r="A96" s="10" t="inlineStr">
        <is>
          <t>Team Samba</t>
        </is>
      </c>
      <c r="B96" s="10" t="inlineStr">
        <is>
          <t>Muhammad Sulaiman</t>
        </is>
      </c>
      <c r="C96" s="10" t="inlineStr">
        <is>
          <t>SDO-7680</t>
        </is>
      </c>
      <c r="D96" s="10" t="inlineStr">
        <is>
          <t>SDO-7680 Multi region</t>
        </is>
      </c>
      <c r="E96" s="10" t="inlineStr">
        <is>
          <t>SDO-7949</t>
        </is>
      </c>
      <c r="F96" s="10" t="inlineStr">
        <is>
          <t>Make Dataprovisioning multi-region - ops</t>
        </is>
      </c>
      <c r="G96" s="20" t="n">
        <v>24</v>
      </c>
    </row>
    <row r="97">
      <c r="A97" s="10" t="inlineStr">
        <is>
          <t>Team Samba</t>
        </is>
      </c>
      <c r="B97" s="10" t="inlineStr">
        <is>
          <t>Muhammad Sulaiman</t>
        </is>
      </c>
      <c r="C97" s="10" t="inlineStr">
        <is>
          <t>SDO-7680</t>
        </is>
      </c>
      <c r="D97" s="10" t="inlineStr">
        <is>
          <t>SDO-7680 Multi region</t>
        </is>
      </c>
      <c r="E97" s="10" t="inlineStr">
        <is>
          <t>SDO-7901</t>
        </is>
      </c>
      <c r="F97" s="10" t="inlineStr">
        <is>
          <t>4. Change scaling and autoscaling to VOP, ORG</t>
        </is>
      </c>
      <c r="G97" s="20" t="n">
        <v>6.4</v>
      </c>
    </row>
    <row r="98">
      <c r="A98" s="10" t="inlineStr">
        <is>
          <t>Team Samba</t>
        </is>
      </c>
      <c r="B98" s="10" t="inlineStr">
        <is>
          <t>Muhammad Sulaiman</t>
        </is>
      </c>
      <c r="C98" s="10" t="inlineStr">
        <is>
          <t>SDO-7680</t>
        </is>
      </c>
      <c r="D98" s="10" t="inlineStr">
        <is>
          <t>SDO-7680 Multi region</t>
        </is>
      </c>
      <c r="E98" s="10" t="inlineStr">
        <is>
          <t>SDO-7976</t>
        </is>
      </c>
      <c r="F98" s="10" t="inlineStr">
        <is>
          <t>Remove OPA dependency from Dataprovisioning</t>
        </is>
      </c>
      <c r="G98" s="20" t="n">
        <v>3.6</v>
      </c>
    </row>
    <row r="99">
      <c r="A99" s="10" t="inlineStr">
        <is>
          <t>Team Samba</t>
        </is>
      </c>
      <c r="B99" s="10" t="inlineStr">
        <is>
          <t>Muhammad Sulaiman</t>
        </is>
      </c>
      <c r="C99" s="10" t="inlineStr">
        <is>
          <t>SDO-7680</t>
        </is>
      </c>
      <c r="D99" s="10" t="inlineStr">
        <is>
          <t>SDO-7680 Multi region</t>
        </is>
      </c>
      <c r="E99" s="10" t="inlineStr">
        <is>
          <t>SDO-7950</t>
        </is>
      </c>
      <c r="F99" s="10" t="inlineStr">
        <is>
          <t>Make Dataprovisioning multi-region - dev</t>
        </is>
      </c>
      <c r="G99" s="20" t="n">
        <v>2</v>
      </c>
    </row>
    <row r="100">
      <c r="A100" s="10" t="inlineStr">
        <is>
          <t>Team Samba</t>
        </is>
      </c>
      <c r="B100" s="10" t="inlineStr">
        <is>
          <t>Muhammad Sulaiman</t>
        </is>
      </c>
      <c r="C100" s="10" t="inlineStr">
        <is>
          <t>SDO-7680</t>
        </is>
      </c>
      <c r="D100" s="10" t="inlineStr">
        <is>
          <t>SDO-7680 Multi region</t>
        </is>
      </c>
      <c r="E100" s="10" t="inlineStr">
        <is>
          <t>SDO-7920</t>
        </is>
      </c>
      <c r="F100" s="10" t="inlineStr">
        <is>
          <t>Make bic-service multiregion deployment - pro</t>
        </is>
      </c>
      <c r="G100" s="20" t="n">
        <v>1.3333</v>
      </c>
    </row>
    <row r="101">
      <c r="A101" s="10" t="inlineStr">
        <is>
          <t>Team Samba</t>
        </is>
      </c>
      <c r="B101" s="10" t="inlineStr">
        <is>
          <t>Muhammad Sulaiman</t>
        </is>
      </c>
      <c r="C101" s="10" t="inlineStr">
        <is>
          <t>SDO-7680</t>
        </is>
      </c>
      <c r="D101" s="10" t="inlineStr">
        <is>
          <t>SDO-7680 Multi region</t>
        </is>
      </c>
      <c r="E101" s="10" t="inlineStr">
        <is>
          <t>SDO-7921</t>
        </is>
      </c>
      <c r="F101" s="10" t="inlineStr">
        <is>
          <t>Make router multiregion - production</t>
        </is>
      </c>
      <c r="G101" s="20" t="n">
        <v>1.3333</v>
      </c>
    </row>
    <row r="102">
      <c r="A102" s="10" t="inlineStr">
        <is>
          <t>Team Samba</t>
        </is>
      </c>
      <c r="B102" s="10" t="inlineStr">
        <is>
          <t>Muhammad Sulaiman</t>
        </is>
      </c>
      <c r="C102" s="10" t="inlineStr">
        <is>
          <t>SDO-7680</t>
        </is>
      </c>
      <c r="D102" s="10" t="inlineStr">
        <is>
          <t>SDO-7680 Multi region</t>
        </is>
      </c>
      <c r="E102" s="10" t="inlineStr">
        <is>
          <t>SDO-7941</t>
        </is>
      </c>
      <c r="F102" s="10" t="inlineStr">
        <is>
          <t>Modify jenkins deployment pipeline to make we</t>
        </is>
      </c>
      <c r="G102" s="20" t="n">
        <v>1.3333</v>
      </c>
    </row>
    <row r="103">
      <c r="A103" s="10" t="inlineStr">
        <is>
          <t>Team Samba</t>
        </is>
      </c>
      <c r="B103" s="10" t="inlineStr">
        <is>
          <t>Orwa Badran</t>
        </is>
      </c>
      <c r="C103" s="10" t="inlineStr">
        <is>
          <t>SDO-7634</t>
        </is>
      </c>
      <c r="D103" s="10" t="inlineStr">
        <is>
          <t>SDO-7634 BIC Enrichment</t>
        </is>
      </c>
      <c r="E103" s="10" t="inlineStr">
        <is>
          <t>SDO-7984</t>
        </is>
      </c>
      <c r="F103" s="10" t="inlineStr">
        <is>
          <t>Refactor BIC fetching to introduce Manual dat</t>
        </is>
      </c>
      <c r="G103" s="20" t="n">
        <v>22.9333</v>
      </c>
    </row>
    <row r="104">
      <c r="A104" s="10" t="inlineStr">
        <is>
          <t>Team Samba</t>
        </is>
      </c>
      <c r="B104" s="10" t="inlineStr">
        <is>
          <t>Orwa Badran</t>
        </is>
      </c>
      <c r="C104" s="10" t="inlineStr">
        <is>
          <t>SDO-7634</t>
        </is>
      </c>
      <c r="D104" s="10" t="inlineStr">
        <is>
          <t>SDO-7634 BIC Enrichment</t>
        </is>
      </c>
      <c r="E104" s="10" t="inlineStr">
        <is>
          <t>SDO-7969</t>
        </is>
      </c>
      <c r="F104" s="10" t="inlineStr">
        <is>
          <t>Investigate and plan the French BIC solution</t>
        </is>
      </c>
      <c r="G104" s="20" t="n">
        <v>14.6667</v>
      </c>
    </row>
    <row r="105">
      <c r="A105" s="10" t="inlineStr">
        <is>
          <t>Team Samba</t>
        </is>
      </c>
      <c r="B105" s="10" t="inlineStr">
        <is>
          <t>Orwa Badran</t>
        </is>
      </c>
      <c r="C105" s="10" t="inlineStr">
        <is>
          <t>SDO-7745</t>
        </is>
      </c>
      <c r="D105" s="10" t="inlineStr">
        <is>
          <t>SDO-7745 UnstructuredRemittanceInformation</t>
        </is>
      </c>
      <c r="E105" s="10" t="inlineStr">
        <is>
          <t>SDO-7732</t>
        </is>
      </c>
      <c r="F105" s="10" t="inlineStr">
        <is>
          <t>Raise a bad request error when there is &gt;1 Un</t>
        </is>
      </c>
      <c r="G105" s="20" t="n">
        <v>28</v>
      </c>
    </row>
    <row r="106">
      <c r="A106" s="10" t="inlineStr">
        <is>
          <t>Team Samba</t>
        </is>
      </c>
      <c r="B106" s="10" t="inlineStr">
        <is>
          <t>Orwa Badran</t>
        </is>
      </c>
      <c r="C106" s="10" t="inlineStr">
        <is>
          <t>SDO-7982</t>
        </is>
      </c>
      <c r="D106" s="10" t="inlineStr">
        <is>
          <t>SDO-7982 Samba Observability</t>
        </is>
      </c>
      <c r="E106" s="10" t="inlineStr">
        <is>
          <t>SDO-7981</t>
        </is>
      </c>
      <c r="F106" s="10" t="inlineStr">
        <is>
          <t>[Observability] create a pipeline for the met</t>
        </is>
      </c>
      <c r="G106" s="20" t="n">
        <v>12.9333</v>
      </c>
    </row>
    <row r="107">
      <c r="A107" s="10" t="inlineStr">
        <is>
          <t>Team Samba</t>
        </is>
      </c>
      <c r="B107" s="10" t="inlineStr">
        <is>
          <t>Orwa Badran</t>
        </is>
      </c>
      <c r="C107" s="10" t="inlineStr">
        <is>
          <t>SDO-7982</t>
        </is>
      </c>
      <c r="D107" s="10" t="inlineStr">
        <is>
          <t>SDO-7982 Samba Observability</t>
        </is>
      </c>
      <c r="E107" s="10" t="inlineStr">
        <is>
          <t>SDO-7967</t>
        </is>
      </c>
      <c r="F107" s="10" t="inlineStr">
        <is>
          <t>[Observability] Build metrics utility</t>
        </is>
      </c>
      <c r="G107" s="20" t="n">
        <v>6.9333</v>
      </c>
    </row>
    <row r="108">
      <c r="A108" s="10" t="inlineStr">
        <is>
          <t>Team Samba</t>
        </is>
      </c>
      <c r="B108" s="10" t="inlineStr">
        <is>
          <t>Sheik Farzand Razi</t>
        </is>
      </c>
      <c r="C108" s="10" t="inlineStr">
        <is>
          <t>SDO-4324</t>
        </is>
      </c>
      <c r="D108" s="10" t="inlineStr">
        <is>
          <t>SDO-4324 SWIFT Outbound/Inbound</t>
        </is>
      </c>
      <c r="E108" s="10" t="inlineStr">
        <is>
          <t>SDO-7924</t>
        </is>
      </c>
      <c r="F108" s="10" t="inlineStr">
        <is>
          <t>Swift outbound (RABO) certificate renewal</t>
        </is>
      </c>
      <c r="G108" s="20" t="n">
        <v>2</v>
      </c>
    </row>
    <row r="109">
      <c r="A109" s="10" t="inlineStr">
        <is>
          <t>Team Samba</t>
        </is>
      </c>
      <c r="B109" s="10" t="inlineStr">
        <is>
          <t>Sheik Farzand Razi</t>
        </is>
      </c>
      <c r="C109" s="10" t="inlineStr">
        <is>
          <t>SDO-7622</t>
        </is>
      </c>
      <c r="D109" s="10" t="inlineStr">
        <is>
          <t>SDO-7622 VOP Performance investigation</t>
        </is>
      </c>
      <c r="E109" s="10" t="inlineStr">
        <is>
          <t>SDO-7792</t>
        </is>
      </c>
      <c r="F109" s="10" t="inlineStr">
        <is>
          <t>[Performance Enhancements] Fix CPU allocation</t>
        </is>
      </c>
      <c r="G109" s="20" t="n">
        <v>10</v>
      </c>
    </row>
    <row r="110">
      <c r="A110" s="10" t="inlineStr">
        <is>
          <t>Team Samba</t>
        </is>
      </c>
      <c r="B110" s="10" t="inlineStr">
        <is>
          <t>Sheik Farzand Razi</t>
        </is>
      </c>
      <c r="C110" s="10" t="inlineStr">
        <is>
          <t>SDO-7680</t>
        </is>
      </c>
      <c r="D110" s="10" t="inlineStr">
        <is>
          <t>SDO-7680 Multi region</t>
        </is>
      </c>
      <c r="E110" s="10" t="inlineStr">
        <is>
          <t>SDO-7941</t>
        </is>
      </c>
      <c r="F110" s="10" t="inlineStr">
        <is>
          <t>Modify jenkins deployment pipeline to make we</t>
        </is>
      </c>
      <c r="G110" s="20" t="n">
        <v>32</v>
      </c>
    </row>
    <row r="111">
      <c r="A111" s="10" t="inlineStr">
        <is>
          <t>Team Samba</t>
        </is>
      </c>
      <c r="B111" s="10" t="inlineStr">
        <is>
          <t>Sheik Farzand Razi</t>
        </is>
      </c>
      <c r="C111" s="10" t="inlineStr">
        <is>
          <t>SDO-7680</t>
        </is>
      </c>
      <c r="D111" s="10" t="inlineStr">
        <is>
          <t>SDO-7680 Multi region</t>
        </is>
      </c>
      <c r="E111" s="10" t="inlineStr">
        <is>
          <t>SDO-7790</t>
        </is>
      </c>
      <c r="F111" s="10" t="inlineStr">
        <is>
          <t>1. Make org-api multiregion - acceptance</t>
        </is>
      </c>
      <c r="G111" s="20" t="n">
        <v>2</v>
      </c>
    </row>
    <row r="112">
      <c r="A112" s="10" t="inlineStr">
        <is>
          <t>Team Samba</t>
        </is>
      </c>
      <c r="B112" s="10" t="inlineStr">
        <is>
          <t>Sheik Farzand Razi</t>
        </is>
      </c>
      <c r="C112" s="10" t="inlineStr">
        <is>
          <t>SDO-7982</t>
        </is>
      </c>
      <c r="D112" s="10" t="inlineStr">
        <is>
          <t>SDO-7982 Samba Observability</t>
        </is>
      </c>
      <c r="E112" s="10" t="inlineStr">
        <is>
          <t>SDO-7981</t>
        </is>
      </c>
      <c r="F112" s="10" t="inlineStr">
        <is>
          <t>[Observability] create a pipeline for the met</t>
        </is>
      </c>
      <c r="G112" s="20" t="n">
        <v>6.2667</v>
      </c>
    </row>
    <row r="113">
      <c r="A113" s="10" t="inlineStr">
        <is>
          <t>Team Samba</t>
        </is>
      </c>
      <c r="B113" s="10" t="inlineStr">
        <is>
          <t>Ismail Kuyu</t>
        </is>
      </c>
      <c r="C113" s="10" t="inlineStr">
        <is>
          <t>SDO-7438</t>
        </is>
      </c>
      <c r="D113" s="10" t="inlineStr">
        <is>
          <t>SDO-7438 VOP Gateway - Enhancements</t>
        </is>
      </c>
      <c r="E113" s="10" t="inlineStr">
        <is>
          <t>SDO-7922</t>
        </is>
      </c>
      <c r="F113" s="10" t="inlineStr">
        <is>
          <t>Remove the fallback from VOP to ORG</t>
        </is>
      </c>
      <c r="G113" s="20" t="n">
        <v>5.6</v>
      </c>
    </row>
    <row r="114">
      <c r="A114" s="10" t="inlineStr">
        <is>
          <t>Team Samba</t>
        </is>
      </c>
      <c r="B114" s="10" t="inlineStr">
        <is>
          <t>Ismail Kuyu</t>
        </is>
      </c>
      <c r="C114" s="10" t="inlineStr">
        <is>
          <t>SDO-7907</t>
        </is>
      </c>
      <c r="D114" s="10" t="inlineStr">
        <is>
          <t>SDO-7907 Corporate checks via VOP (MVP)</t>
        </is>
      </c>
      <c r="E114" s="10" t="inlineStr">
        <is>
          <t>SDO-7936</t>
        </is>
      </c>
      <c r="F114" s="10" t="inlineStr">
        <is>
          <t>Revert the exclusion of BE data from Org v2 c</t>
        </is>
      </c>
      <c r="G114" s="20" t="n">
        <v>12</v>
      </c>
    </row>
    <row r="115">
      <c r="A115" s="10" t="inlineStr">
        <is>
          <t>Team Samba</t>
        </is>
      </c>
      <c r="B115" s="10" t="inlineStr">
        <is>
          <t>Ismail Kuyu</t>
        </is>
      </c>
      <c r="C115" s="10" t="inlineStr">
        <is>
          <t>SDO-7982</t>
        </is>
      </c>
      <c r="D115" s="10" t="inlineStr">
        <is>
          <t>SDO-7982 Samba Observability</t>
        </is>
      </c>
      <c r="E115" s="10" t="inlineStr">
        <is>
          <t>SDO-7966</t>
        </is>
      </c>
      <c r="F115" s="10" t="inlineStr">
        <is>
          <t>[Observability] Create alerts on all our endp</t>
        </is>
      </c>
      <c r="G115" s="20" t="n">
        <v>8.933299999999999</v>
      </c>
    </row>
    <row r="116">
      <c r="A116" s="10" t="inlineStr">
        <is>
          <t>Team Samba</t>
        </is>
      </c>
      <c r="B116" s="10" t="inlineStr">
        <is>
          <t>Ismail Kuyu</t>
        </is>
      </c>
      <c r="C116" s="10" t="inlineStr">
        <is>
          <t>SDO-8067</t>
        </is>
      </c>
      <c r="D116" s="10" t="inlineStr">
        <is>
          <t>SDO-8067 Swift outbound v3</t>
        </is>
      </c>
      <c r="E116" s="10" t="inlineStr">
        <is>
          <t>SDO-7972</t>
        </is>
      </c>
      <c r="F116" s="10" t="inlineStr">
        <is>
          <t>[Swift Inbound] Add Anadolubank to Swift Inbo</t>
        </is>
      </c>
      <c r="G116" s="20" t="n">
        <v>10.5333</v>
      </c>
    </row>
    <row r="117">
      <c r="A117" s="10" t="inlineStr">
        <is>
          <t>Team Samba</t>
        </is>
      </c>
      <c r="B117" s="10" t="inlineStr">
        <is>
          <t>Kumar Kannan</t>
        </is>
      </c>
      <c r="C117" s="10" t="inlineStr">
        <is>
          <t>SDO-7680</t>
        </is>
      </c>
      <c r="D117" s="10" t="inlineStr">
        <is>
          <t>SDO-7680 Multi region</t>
        </is>
      </c>
      <c r="E117" s="10" t="inlineStr">
        <is>
          <t>SDO-7889</t>
        </is>
      </c>
      <c r="F117" s="10" t="inlineStr">
        <is>
          <t>Multi region testing - test plan</t>
        </is>
      </c>
      <c r="G117" s="20" t="n">
        <v>1.3333</v>
      </c>
    </row>
    <row r="118">
      <c r="A118" s="10" t="inlineStr">
        <is>
          <t>Team Samba</t>
        </is>
      </c>
      <c r="B118" s="10" t="inlineStr">
        <is>
          <t>Kumar Kannan</t>
        </is>
      </c>
      <c r="C118" s="10" t="inlineStr">
        <is>
          <t>SDO-7680</t>
        </is>
      </c>
      <c r="D118" s="10" t="inlineStr">
        <is>
          <t>SDO-7680 Multi region</t>
        </is>
      </c>
      <c r="E118" s="10" t="inlineStr">
        <is>
          <t>SDO-7928</t>
        </is>
      </c>
      <c r="F118" s="10" t="inlineStr">
        <is>
          <t>Multi region testing - test execution</t>
        </is>
      </c>
      <c r="G118" s="20" t="n">
        <v>1.3333</v>
      </c>
    </row>
    <row r="119">
      <c r="A119" s="10" t="inlineStr">
        <is>
          <t>YODA</t>
        </is>
      </c>
      <c r="B119" s="10" t="inlineStr">
        <is>
          <t>Mitali Patil</t>
        </is>
      </c>
      <c r="C119" s="10" t="inlineStr">
        <is>
          <t>YODA-1672</t>
        </is>
      </c>
      <c r="D119" s="10" t="inlineStr">
        <is>
          <t>YODA-1672 Multi Region by Yoda</t>
        </is>
      </c>
      <c r="E119" s="10" t="inlineStr">
        <is>
          <t>YODA-1740</t>
        </is>
      </c>
      <c r="F119" s="10" t="inlineStr">
        <is>
          <t>Nexus vulnerability upgrades and fixes</t>
        </is>
      </c>
      <c r="G119" s="20" t="n">
        <v>144</v>
      </c>
    </row>
    <row r="120">
      <c r="A120" s="10" t="inlineStr">
        <is>
          <t>YODA</t>
        </is>
      </c>
      <c r="B120" s="10" t="inlineStr">
        <is>
          <t>Parth Mewada</t>
        </is>
      </c>
      <c r="C120" s="10" t="inlineStr">
        <is>
          <t>YODA-1672</t>
        </is>
      </c>
      <c r="D120" s="10" t="inlineStr">
        <is>
          <t>YODA-1672 Multi Region by Yoda</t>
        </is>
      </c>
      <c r="E120" s="10" t="inlineStr">
        <is>
          <t>YODA-1759</t>
        </is>
      </c>
      <c r="F120" s="10" t="inlineStr">
        <is>
          <t>Update Jenkins pipeline</t>
        </is>
      </c>
      <c r="G120" s="20" t="n">
        <v>28.1273</v>
      </c>
    </row>
    <row r="121">
      <c r="A121" s="10" t="inlineStr">
        <is>
          <t>YODA</t>
        </is>
      </c>
      <c r="B121" s="10" t="inlineStr">
        <is>
          <t>Parth Mewada</t>
        </is>
      </c>
      <c r="C121" s="10" t="inlineStr">
        <is>
          <t>YODA-1672</t>
        </is>
      </c>
      <c r="D121" s="10" t="inlineStr">
        <is>
          <t>YODA-1672 Multi Region by Yoda</t>
        </is>
      </c>
      <c r="E121" s="10" t="inlineStr">
        <is>
          <t>YODA-1761</t>
        </is>
      </c>
      <c r="F121" s="10" t="inlineStr">
        <is>
          <t>Infra</t>
        </is>
      </c>
      <c r="G121" s="20" t="n">
        <v>28.1273</v>
      </c>
    </row>
    <row r="122">
      <c r="A122" s="10" t="inlineStr">
        <is>
          <t>YODA</t>
        </is>
      </c>
      <c r="B122" s="10" t="inlineStr">
        <is>
          <t>Parth Mewada</t>
        </is>
      </c>
      <c r="C122" s="10" t="inlineStr">
        <is>
          <t>YODA-1672</t>
        </is>
      </c>
      <c r="D122" s="10" t="inlineStr">
        <is>
          <t>YODA-1672 Multi Region by Yoda</t>
        </is>
      </c>
      <c r="E122" s="10" t="inlineStr">
        <is>
          <t>YODA-1750</t>
        </is>
      </c>
      <c r="F122" s="10" t="inlineStr">
        <is>
          <t>Update Jenkins pipeline</t>
        </is>
      </c>
      <c r="G122" s="20" t="n">
        <v>16.1273</v>
      </c>
    </row>
    <row r="123">
      <c r="A123" s="10" t="inlineStr">
        <is>
          <t>YODA</t>
        </is>
      </c>
      <c r="B123" s="10" t="inlineStr">
        <is>
          <t>Parth Mewada</t>
        </is>
      </c>
      <c r="C123" s="10" t="inlineStr">
        <is>
          <t>YODA-1672</t>
        </is>
      </c>
      <c r="D123" s="10" t="inlineStr">
        <is>
          <t>YODA-1672 Multi Region by Yoda</t>
        </is>
      </c>
      <c r="E123" s="10" t="inlineStr">
        <is>
          <t>YODA-1752</t>
        </is>
      </c>
      <c r="F123" s="10" t="inlineStr">
        <is>
          <t>Infra</t>
        </is>
      </c>
      <c r="G123" s="20" t="n">
        <v>16.1273</v>
      </c>
    </row>
    <row r="124">
      <c r="A124" s="10" t="inlineStr">
        <is>
          <t>YODA</t>
        </is>
      </c>
      <c r="B124" s="10" t="inlineStr">
        <is>
          <t>Parth Mewada</t>
        </is>
      </c>
      <c r="C124" s="10" t="inlineStr">
        <is>
          <t>YODA-1672</t>
        </is>
      </c>
      <c r="D124" s="10" t="inlineStr">
        <is>
          <t>YODA-1672 Multi Region by Yoda</t>
        </is>
      </c>
      <c r="E124" s="10" t="inlineStr">
        <is>
          <t>YODA-1736</t>
        </is>
      </c>
      <c r="F124" s="10" t="inlineStr">
        <is>
          <t>[UK Adapter] Multi region</t>
        </is>
      </c>
      <c r="G124" s="20" t="n">
        <v>9.460599999999999</v>
      </c>
    </row>
    <row r="125">
      <c r="A125" s="10" t="inlineStr">
        <is>
          <t>YODA</t>
        </is>
      </c>
      <c r="B125" s="10" t="inlineStr">
        <is>
          <t>Parth Mewada</t>
        </is>
      </c>
      <c r="C125" s="10" t="inlineStr">
        <is>
          <t>YODA-1672</t>
        </is>
      </c>
      <c r="D125" s="10" t="inlineStr">
        <is>
          <t>YODA-1672 Multi Region by Yoda</t>
        </is>
      </c>
      <c r="E125" s="10" t="inlineStr">
        <is>
          <t>YODA-1737</t>
        </is>
      </c>
      <c r="F125" s="10" t="inlineStr">
        <is>
          <t>[OPA VOP] Multi region</t>
        </is>
      </c>
      <c r="G125" s="20" t="n">
        <v>9.460599999999999</v>
      </c>
    </row>
    <row r="126">
      <c r="A126" s="10" t="inlineStr">
        <is>
          <t>YODA</t>
        </is>
      </c>
      <c r="B126" s="10" t="inlineStr">
        <is>
          <t>Parth Mewada</t>
        </is>
      </c>
      <c r="C126" s="10" t="inlineStr">
        <is>
          <t>YODA-1672</t>
        </is>
      </c>
      <c r="D126" s="10" t="inlineStr">
        <is>
          <t>YODA-1672 Multi Region by Yoda</t>
        </is>
      </c>
      <c r="E126" s="10" t="inlineStr">
        <is>
          <t>YODA-1756</t>
        </is>
      </c>
      <c r="F126" s="10" t="inlineStr">
        <is>
          <t>Update Jenkins pipeline</t>
        </is>
      </c>
      <c r="G126" s="20" t="n">
        <v>9.460599999999999</v>
      </c>
    </row>
    <row r="127">
      <c r="A127" s="10" t="inlineStr">
        <is>
          <t>YODA</t>
        </is>
      </c>
      <c r="B127" s="10" t="inlineStr">
        <is>
          <t>Parth Mewada</t>
        </is>
      </c>
      <c r="C127" s="10" t="inlineStr">
        <is>
          <t>YODA-1672</t>
        </is>
      </c>
      <c r="D127" s="10" t="inlineStr">
        <is>
          <t>YODA-1672 Multi Region by Yoda</t>
        </is>
      </c>
      <c r="E127" s="10" t="inlineStr">
        <is>
          <t>YODA-1758</t>
        </is>
      </c>
      <c r="F127" s="10" t="inlineStr">
        <is>
          <t>Infra</t>
        </is>
      </c>
      <c r="G127" s="20" t="n">
        <v>9.460599999999999</v>
      </c>
    </row>
    <row r="128">
      <c r="A128" s="10" t="inlineStr">
        <is>
          <t>YODA</t>
        </is>
      </c>
      <c r="B128" s="10" t="inlineStr">
        <is>
          <t>Parth Mewada</t>
        </is>
      </c>
      <c r="C128" s="10" t="inlineStr">
        <is>
          <t>YODA-1672</t>
        </is>
      </c>
      <c r="D128" s="10" t="inlineStr">
        <is>
          <t>YODA-1672 Multi Region by Yoda</t>
        </is>
      </c>
      <c r="E128" s="10" t="inlineStr">
        <is>
          <t>YODA-1734</t>
        </is>
      </c>
      <c r="F128" s="10" t="inlineStr">
        <is>
          <t>[CBI outbound] Multi region</t>
        </is>
      </c>
      <c r="G128" s="20" t="n">
        <v>6.6828</v>
      </c>
    </row>
    <row r="129">
      <c r="A129" s="10" t="inlineStr">
        <is>
          <t>YODA</t>
        </is>
      </c>
      <c r="B129" s="10" t="inlineStr">
        <is>
          <t>Shrikant Patil</t>
        </is>
      </c>
      <c r="C129" s="10" t="inlineStr">
        <is>
          <t>YODA-1656</t>
        </is>
      </c>
      <c r="D129" s="10" t="inlineStr">
        <is>
          <t>YODA-1656 [Audit] Cross cluster search</t>
        </is>
      </c>
      <c r="E129" s="10" t="inlineStr">
        <is>
          <t>YODA-1708</t>
        </is>
      </c>
      <c r="F129" s="10" t="inlineStr">
        <is>
          <t>Cross cluster search &amp; dashboarding</t>
        </is>
      </c>
      <c r="G129" s="20" t="n">
        <v>6</v>
      </c>
    </row>
    <row r="130">
      <c r="A130" s="10" t="inlineStr">
        <is>
          <t>YODA</t>
        </is>
      </c>
      <c r="B130" s="10" t="inlineStr">
        <is>
          <t>Shrikant Patil</t>
        </is>
      </c>
      <c r="C130" s="10" t="inlineStr">
        <is>
          <t>YODA-1672</t>
        </is>
      </c>
      <c r="D130" s="10" t="inlineStr">
        <is>
          <t>YODA-1672 Multi Region by Yoda</t>
        </is>
      </c>
      <c r="E130" s="10" t="inlineStr">
        <is>
          <t>YODA-1741</t>
        </is>
      </c>
      <c r="F130" s="10" t="inlineStr">
        <is>
          <t>Infra - FCA multi-region</t>
        </is>
      </c>
      <c r="G130" s="20" t="n">
        <v>36.9333</v>
      </c>
    </row>
    <row r="131">
      <c r="A131" s="10" t="inlineStr">
        <is>
          <t>YODA</t>
        </is>
      </c>
      <c r="B131" s="10" t="inlineStr">
        <is>
          <t>Shrikant Patil</t>
        </is>
      </c>
      <c r="C131" s="10" t="inlineStr">
        <is>
          <t>YODA-1672</t>
        </is>
      </c>
      <c r="D131" s="10" t="inlineStr">
        <is>
          <t>YODA-1672 Multi Region by Yoda</t>
        </is>
      </c>
      <c r="E131" s="10" t="inlineStr">
        <is>
          <t>YODA-1739</t>
        </is>
      </c>
      <c r="F131" s="10" t="inlineStr">
        <is>
          <t>Update Jenkins pipeline - FCA multi-region</t>
        </is>
      </c>
      <c r="G131" s="20" t="n">
        <v>27.6</v>
      </c>
    </row>
    <row r="132">
      <c r="A132" s="10" t="inlineStr">
        <is>
          <t>YODA</t>
        </is>
      </c>
      <c r="B132" s="10" t="inlineStr">
        <is>
          <t>Shrikant Patil</t>
        </is>
      </c>
      <c r="C132" s="10" t="inlineStr">
        <is>
          <t>YODA-1672</t>
        </is>
      </c>
      <c r="D132" s="10" t="inlineStr">
        <is>
          <t>YODA-1672 Multi Region by Yoda</t>
        </is>
      </c>
      <c r="E132" s="10" t="inlineStr">
        <is>
          <t>YODA-1733</t>
        </is>
      </c>
      <c r="F132" s="10" t="inlineStr">
        <is>
          <t>[FCA] Multi region</t>
        </is>
      </c>
      <c r="G132" s="20" t="n">
        <v>15.6</v>
      </c>
    </row>
    <row r="133">
      <c r="A133" s="10" t="inlineStr">
        <is>
          <t>YODA</t>
        </is>
      </c>
      <c r="B133" s="10" t="inlineStr">
        <is>
          <t>Shrikant Patil</t>
        </is>
      </c>
      <c r="C133" s="10" t="inlineStr">
        <is>
          <t>YODA-1672</t>
        </is>
      </c>
      <c r="D133" s="10" t="inlineStr">
        <is>
          <t>YODA-1672 Multi Region by Yoda</t>
        </is>
      </c>
      <c r="E133" s="10" t="inlineStr">
        <is>
          <t>YODA-1790</t>
        </is>
      </c>
      <c r="F133" s="10" t="inlineStr">
        <is>
          <t>[platform-eu-cross-border-adapters] Multi reg</t>
        </is>
      </c>
      <c r="G133" s="20" t="n">
        <v>13.6</v>
      </c>
    </row>
    <row r="134">
      <c r="A134" s="10" t="inlineStr">
        <is>
          <t>YODA</t>
        </is>
      </c>
      <c r="B134" s="10" t="inlineStr">
        <is>
          <t>Shrikant Patil</t>
        </is>
      </c>
      <c r="C134" s="10" t="inlineStr">
        <is>
          <t>YODA-1672</t>
        </is>
      </c>
      <c r="D134" s="10" t="inlineStr">
        <is>
          <t>YODA-1672 Multi Region by Yoda</t>
        </is>
      </c>
      <c r="E134" s="10" t="inlineStr">
        <is>
          <t>YODA-1735</t>
        </is>
      </c>
      <c r="F134" s="10" t="inlineStr">
        <is>
          <t>[CVS] Multi region</t>
        </is>
      </c>
      <c r="G134" s="20" t="n">
        <v>8</v>
      </c>
    </row>
    <row r="135">
      <c r="A135" s="10" t="inlineStr">
        <is>
          <t>YODA</t>
        </is>
      </c>
      <c r="B135" s="10" t="inlineStr">
        <is>
          <t>Shrikant Patil</t>
        </is>
      </c>
      <c r="C135" s="10" t="inlineStr">
        <is>
          <t>YODA-1672</t>
        </is>
      </c>
      <c r="D135" s="10" t="inlineStr">
        <is>
          <t>YODA-1672 Multi Region by Yoda</t>
        </is>
      </c>
      <c r="E135" s="10" t="inlineStr">
        <is>
          <t>YODA-1791</t>
        </is>
      </c>
      <c r="F135" s="10" t="inlineStr">
        <is>
          <t>Jenkins pipeline - platform-eu-cross-border-a</t>
        </is>
      </c>
      <c r="G135" s="20" t="n">
        <v>8</v>
      </c>
    </row>
    <row r="136">
      <c r="A136" s="10" t="inlineStr">
        <is>
          <t>YODA</t>
        </is>
      </c>
      <c r="B136" s="10" t="inlineStr">
        <is>
          <t>Shrikant Patil</t>
        </is>
      </c>
      <c r="C136" s="10" t="inlineStr">
        <is>
          <t>YODA-1672</t>
        </is>
      </c>
      <c r="D136" s="10" t="inlineStr">
        <is>
          <t>YODA-1672 Multi Region by Yoda</t>
        </is>
      </c>
      <c r="E136" s="10" t="inlineStr">
        <is>
          <t>YODA-1793</t>
        </is>
      </c>
      <c r="F136" s="10" t="inlineStr">
        <is>
          <t>Infra - platform-eu-cross-border-adapters mul</t>
        </is>
      </c>
      <c r="G136" s="20" t="n">
        <v>8</v>
      </c>
    </row>
    <row r="137">
      <c r="A137" s="10" t="inlineStr">
        <is>
          <t>YODA</t>
        </is>
      </c>
      <c r="B137" s="10" t="inlineStr">
        <is>
          <t>Shrikant Patil</t>
        </is>
      </c>
      <c r="C137" s="10" t="inlineStr">
        <is>
          <t>YODA-1672</t>
        </is>
      </c>
      <c r="D137" s="10" t="inlineStr">
        <is>
          <t>YODA-1672 Multi Region by Yoda</t>
        </is>
      </c>
      <c r="E137" s="10" t="inlineStr">
        <is>
          <t>YODA-1767</t>
        </is>
      </c>
      <c r="F137" s="10" t="inlineStr">
        <is>
          <t>[Operations] Incident - Acc - Trafiek-outboun</t>
        </is>
      </c>
      <c r="G137" s="20" t="n">
        <v>7.3333</v>
      </c>
    </row>
    <row r="138">
      <c r="A138" s="10" t="inlineStr">
        <is>
          <t>YODA</t>
        </is>
      </c>
      <c r="B138" s="10" t="inlineStr">
        <is>
          <t>Ramseshu Ghanta</t>
        </is>
      </c>
      <c r="C138" s="10" t="inlineStr">
        <is>
          <t>YODA-1429</t>
        </is>
      </c>
      <c r="D138" s="10" t="inlineStr">
        <is>
          <t>YODA-1429 [Audit] Backup strategy</t>
        </is>
      </c>
      <c r="E138" s="10" t="inlineStr">
        <is>
          <t>YODA-1526</t>
        </is>
      </c>
      <c r="F138" s="10" t="inlineStr">
        <is>
          <t xml:space="preserve">[SecReview] Set retention policy for backups </t>
        </is>
      </c>
      <c r="G138" s="20" t="n">
        <v>39.0667</v>
      </c>
    </row>
    <row r="139">
      <c r="A139" s="10" t="inlineStr">
        <is>
          <t>YODA</t>
        </is>
      </c>
      <c r="B139" s="10" t="inlineStr">
        <is>
          <t>Ramseshu Ghanta</t>
        </is>
      </c>
      <c r="C139" s="10" t="inlineStr">
        <is>
          <t>YODA-1672</t>
        </is>
      </c>
      <c r="D139" s="10" t="inlineStr">
        <is>
          <t>YODA-1672 Multi Region by Yoda</t>
        </is>
      </c>
      <c r="E139" s="10" t="inlineStr">
        <is>
          <t>YODA-1760</t>
        </is>
      </c>
      <c r="F139" s="10" t="inlineStr">
        <is>
          <t>Nexus vulnerability upgrades and fixes</t>
        </is>
      </c>
      <c r="G139" s="20" t="n">
        <v>31.0667</v>
      </c>
    </row>
    <row r="140">
      <c r="A140" s="10" t="inlineStr">
        <is>
          <t>YODA</t>
        </is>
      </c>
      <c r="B140" s="10" t="inlineStr">
        <is>
          <t>Ramseshu Ghanta</t>
        </is>
      </c>
      <c r="C140" s="10" t="inlineStr">
        <is>
          <t>YODA-1672</t>
        </is>
      </c>
      <c r="D140" s="10" t="inlineStr">
        <is>
          <t>YODA-1672 Multi Region by Yoda</t>
        </is>
      </c>
      <c r="E140" s="10" t="inlineStr">
        <is>
          <t>YODA-1757</t>
        </is>
      </c>
      <c r="F140" s="10" t="inlineStr">
        <is>
          <t>Nexus vulnerability upgrades and fixes</t>
        </is>
      </c>
      <c r="G140" s="20" t="n">
        <v>29.0667</v>
      </c>
    </row>
    <row r="141">
      <c r="A141" s="10" t="inlineStr">
        <is>
          <t>YODA</t>
        </is>
      </c>
      <c r="B141" s="10" t="inlineStr">
        <is>
          <t>Ramseshu Ghanta</t>
        </is>
      </c>
      <c r="C141" s="10" t="inlineStr">
        <is>
          <t>YODA-1672</t>
        </is>
      </c>
      <c r="D141" s="10" t="inlineStr">
        <is>
          <t>YODA-1672 Multi Region by Yoda</t>
        </is>
      </c>
      <c r="E141" s="10" t="inlineStr">
        <is>
          <t>YODA-1751</t>
        </is>
      </c>
      <c r="F141" s="10" t="inlineStr">
        <is>
          <t>Nexus vulnerability upgrades and fixes</t>
        </is>
      </c>
      <c r="G141" s="20" t="n">
        <v>10.6667</v>
      </c>
    </row>
    <row r="142">
      <c r="A142" s="10" t="inlineStr">
        <is>
          <t>YODA</t>
        </is>
      </c>
      <c r="B142" s="10" t="inlineStr">
        <is>
          <t>Richard Oliver</t>
        </is>
      </c>
      <c r="C142" s="10" t="inlineStr">
        <is>
          <t>YODA-1672</t>
        </is>
      </c>
      <c r="D142" s="10" t="inlineStr">
        <is>
          <t>YODA-1672 Multi Region by Yoda</t>
        </is>
      </c>
      <c r="E142" s="10" t="inlineStr">
        <is>
          <t>YODA-1754</t>
        </is>
      </c>
      <c r="F142" s="10" t="inlineStr">
        <is>
          <t>Nexus vulnerability upgrades and fixes - [CVS</t>
        </is>
      </c>
      <c r="G142" s="20" t="n">
        <v>58.6667</v>
      </c>
    </row>
    <row r="143">
      <c r="A143" s="10" t="inlineStr">
        <is>
          <t>YODA</t>
        </is>
      </c>
      <c r="B143" s="10" t="inlineStr">
        <is>
          <t>Richard Oliver</t>
        </is>
      </c>
      <c r="C143" s="10" t="inlineStr">
        <is>
          <t>YODA-1672</t>
        </is>
      </c>
      <c r="D143" s="10" t="inlineStr">
        <is>
          <t>YODA-1672 Multi Region by Yoda</t>
        </is>
      </c>
      <c r="E143" s="10" t="inlineStr">
        <is>
          <t>YODA-1735</t>
        </is>
      </c>
      <c r="F143" s="10" t="inlineStr">
        <is>
          <t>[CVS] Multi region</t>
        </is>
      </c>
      <c r="G143" s="20" t="n">
        <v>14.6667</v>
      </c>
    </row>
    <row r="144">
      <c r="A144" s="10" t="inlineStr">
        <is>
          <t>YODA</t>
        </is>
      </c>
      <c r="B144" s="10" t="inlineStr">
        <is>
          <t>Mark Moorcroft</t>
        </is>
      </c>
      <c r="C144" s="10" t="inlineStr">
        <is>
          <t>YODA-1672</t>
        </is>
      </c>
      <c r="D144" s="10" t="inlineStr">
        <is>
          <t>YODA-1672 Multi Region by Yoda</t>
        </is>
      </c>
      <c r="E144" s="10" t="inlineStr">
        <is>
          <t>YODA-1754</t>
        </is>
      </c>
      <c r="F144" s="10" t="inlineStr">
        <is>
          <t>Nexus vulnerability upgrades and fixes - [CVS</t>
        </is>
      </c>
      <c r="G144" s="20" t="n">
        <v>16</v>
      </c>
    </row>
    <row r="145">
      <c r="A145" s="10" t="inlineStr">
        <is>
          <t>YODA</t>
        </is>
      </c>
      <c r="B145" s="10" t="inlineStr">
        <is>
          <t>Mark Moorcroft</t>
        </is>
      </c>
      <c r="C145" s="10" t="inlineStr">
        <is>
          <t>YODA-1672</t>
        </is>
      </c>
      <c r="D145" s="10" t="inlineStr">
        <is>
          <t>YODA-1672 Multi Region by Yoda</t>
        </is>
      </c>
      <c r="E145" s="10" t="inlineStr">
        <is>
          <t>YODA-1735</t>
        </is>
      </c>
      <c r="F145" s="10" t="inlineStr">
        <is>
          <t>[CVS] Multi region</t>
        </is>
      </c>
      <c r="G145" s="20" t="n">
        <v>13.3333</v>
      </c>
    </row>
    <row r="146">
      <c r="A146" s="10" t="inlineStr">
        <is>
          <t>YODA</t>
        </is>
      </c>
      <c r="B146" s="10" t="inlineStr">
        <is>
          <t>Marin Onofrei</t>
        </is>
      </c>
      <c r="C146" s="10" t="inlineStr">
        <is>
          <t>YODA-1413</t>
        </is>
      </c>
      <c r="D146" s="10" t="inlineStr">
        <is>
          <t>YODA-1413 OPA VOP for JPM</t>
        </is>
      </c>
      <c r="E146" s="10" t="inlineStr">
        <is>
          <t>YODA-1584</t>
        </is>
      </c>
      <c r="F146" s="10" t="inlineStr">
        <is>
          <t xml:space="preserve">Performance test with Gatling </t>
        </is>
      </c>
      <c r="G146" s="20" t="n">
        <v>8</v>
      </c>
    </row>
    <row r="148">
      <c r="F148" s="3" t="inlineStr">
        <is>
          <t>TOTAL</t>
        </is>
      </c>
      <c r="G148" s="15">
        <f>SUM(G4:G146)</f>
        <v/>
      </c>
    </row>
  </sheetData>
  <autoFilter ref="A3:G1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16" customWidth="1" min="4" max="4"/>
    <col width="52" customWidth="1" min="5" max="5"/>
  </cols>
  <sheetData>
    <row r="1">
      <c r="A1" s="1" t="inlineStr">
        <is>
          <t>Mapping and scope issues found during this run</t>
        </is>
      </c>
    </row>
    <row r="3">
      <c r="A3" s="9" t="inlineStr">
        <is>
          <t>Team</t>
        </is>
      </c>
      <c r="B3" s="9" t="inlineStr">
        <is>
          <t>Epic key</t>
        </is>
      </c>
      <c r="C3" s="9" t="inlineStr">
        <is>
          <t>Issue</t>
        </is>
      </c>
      <c r="D3" s="9" t="inlineStr">
        <is>
          <t>Example ticket</t>
        </is>
      </c>
      <c r="E3" s="9" t="inlineStr">
        <is>
          <t>Action</t>
        </is>
      </c>
    </row>
    <row r="4">
      <c r="A4" s="10" t="inlineStr">
        <is>
          <t>Pastel de Portal Team</t>
        </is>
      </c>
      <c r="B4" s="10" t="inlineStr">
        <is>
          <t>PT-284</t>
        </is>
      </c>
      <c r="C4" s="10" t="inlineStr">
        <is>
          <t>Absent from the mapping CSV entirely</t>
        </is>
      </c>
      <c r="D4" s="10" t="inlineStr">
        <is>
          <t>PT-437</t>
        </is>
      </c>
      <c r="E4" s="10" t="inlineStr">
        <is>
          <t>Treated as non-WBSO. Add a row to the CSV if it should count.</t>
        </is>
      </c>
    </row>
    <row r="5">
      <c r="A5" s="10" t="inlineStr">
        <is>
          <t>Pastel de Portal Team</t>
        </is>
      </c>
      <c r="B5" s="10" t="inlineStr">
        <is>
          <t>PT-350</t>
        </is>
      </c>
      <c r="C5" s="10" t="inlineStr">
        <is>
          <t>Absent from the mapping CSV entirely</t>
        </is>
      </c>
      <c r="D5" s="10" t="inlineStr">
        <is>
          <t>PT-233</t>
        </is>
      </c>
      <c r="E5" s="10" t="inlineStr">
        <is>
          <t>Treated as non-WBSO. Add a row to the CSV if it should count.</t>
        </is>
      </c>
    </row>
    <row r="6">
      <c r="A6" s="10" t="inlineStr">
        <is>
          <t>Pastel de Portal Team</t>
        </is>
      </c>
      <c r="B6" s="10" t="inlineStr">
        <is>
          <t>PT-459</t>
        </is>
      </c>
      <c r="C6" s="10" t="inlineStr">
        <is>
          <t>Absent from the mapping CSV entirely</t>
        </is>
      </c>
      <c r="D6" s="10" t="inlineStr">
        <is>
          <t>PT-461</t>
        </is>
      </c>
      <c r="E6" s="10" t="inlineStr">
        <is>
          <t>Treated as non-WBSO. Add a row to the CSV if it should count.</t>
        </is>
      </c>
    </row>
    <row r="7">
      <c r="A7" s="10" t="inlineStr">
        <is>
          <t>Pastel de Portal Team</t>
        </is>
      </c>
      <c r="B7" s="10" t="inlineStr">
        <is>
          <t>PT-57</t>
        </is>
      </c>
      <c r="C7" s="10" t="inlineStr">
        <is>
          <t>Absent from the mapping CSV entirely</t>
        </is>
      </c>
      <c r="D7" s="10" t="inlineStr">
        <is>
          <t>PT-90</t>
        </is>
      </c>
      <c r="E7" s="10" t="inlineStr">
        <is>
          <t>Treated as non-WBSO. Add a row to the CSV if it should count.</t>
        </is>
      </c>
    </row>
    <row r="8">
      <c r="A8" s="10" t="inlineStr">
        <is>
          <t>Team Horizon</t>
        </is>
      </c>
      <c r="B8" s="10" t="inlineStr">
        <is>
          <t>SUK-1438</t>
        </is>
      </c>
      <c r="C8" s="10" t="inlineStr">
        <is>
          <t>Absent from the mapping CSV entirely</t>
        </is>
      </c>
      <c r="D8" s="10" t="inlineStr">
        <is>
          <t>SUK-1557</t>
        </is>
      </c>
      <c r="E8" s="10" t="inlineStr">
        <is>
          <t>Treated as non-WBSO. Add a row to the CSV if it should count.</t>
        </is>
      </c>
    </row>
    <row r="9">
      <c r="A9" s="10" t="inlineStr">
        <is>
          <t>Team Horizon</t>
        </is>
      </c>
      <c r="B9" s="10" t="inlineStr">
        <is>
          <t>SUK-2339</t>
        </is>
      </c>
      <c r="C9" s="10" t="inlineStr">
        <is>
          <t>Absent from the mapping CSV entirely</t>
        </is>
      </c>
      <c r="D9" s="10" t="inlineStr">
        <is>
          <t>SUK-3511</t>
        </is>
      </c>
      <c r="E9" s="10" t="inlineStr">
        <is>
          <t>Treated as non-WBSO. Add a row to the CSV if it should count.</t>
        </is>
      </c>
    </row>
    <row r="10">
      <c r="A10" s="10" t="inlineStr">
        <is>
          <t>Team Horizon</t>
        </is>
      </c>
      <c r="B10" s="10" t="inlineStr">
        <is>
          <t>SUK-4741</t>
        </is>
      </c>
      <c r="C10" s="10" t="inlineStr">
        <is>
          <t>Absent from the mapping CSV entirely</t>
        </is>
      </c>
      <c r="D10" s="10" t="inlineStr">
        <is>
          <t>SUK-4751</t>
        </is>
      </c>
      <c r="E10" s="10" t="inlineStr">
        <is>
          <t>Treated as non-WBSO. Add a row to the CSV if it should count.</t>
        </is>
      </c>
    </row>
    <row r="11">
      <c r="A11" s="10" t="inlineStr">
        <is>
          <t>Team Horizon</t>
        </is>
      </c>
      <c r="B11" s="10" t="inlineStr">
        <is>
          <t>SUK-6068</t>
        </is>
      </c>
      <c r="C11" s="10" t="inlineStr">
        <is>
          <t>Absent from the mapping CSV entirely</t>
        </is>
      </c>
      <c r="D11" s="10" t="inlineStr">
        <is>
          <t>SUK-5933</t>
        </is>
      </c>
      <c r="E11" s="10" t="inlineStr">
        <is>
          <t>Treated as non-WBSO. Add a row to the CSV if it should count.</t>
        </is>
      </c>
    </row>
    <row r="12">
      <c r="A12" s="10" t="inlineStr">
        <is>
          <t>Team Horizon</t>
        </is>
      </c>
      <c r="B12" s="10" t="inlineStr">
        <is>
          <t>SUK-6070</t>
        </is>
      </c>
      <c r="C12" s="10" t="inlineStr">
        <is>
          <t>Absent from the mapping CSV entirely</t>
        </is>
      </c>
      <c r="D12" s="10" t="inlineStr">
        <is>
          <t>SUK-5456</t>
        </is>
      </c>
      <c r="E12" s="10" t="inlineStr">
        <is>
          <t>Treated as non-WBSO. Add a row to the CSV if it should count.</t>
        </is>
      </c>
    </row>
    <row r="13">
      <c r="A13" s="10" t="inlineStr">
        <is>
          <t>Team Horizon</t>
        </is>
      </c>
      <c r="B13" s="10" t="inlineStr">
        <is>
          <t>SUK-6076</t>
        </is>
      </c>
      <c r="C13" s="10" t="inlineStr">
        <is>
          <t>Absent from the mapping CSV entirely</t>
        </is>
      </c>
      <c r="D13" s="10" t="inlineStr">
        <is>
          <t>SUK-5097</t>
        </is>
      </c>
      <c r="E13" s="10" t="inlineStr">
        <is>
          <t>Treated as non-WBSO. Add a row to the CSV if it should count.</t>
        </is>
      </c>
    </row>
    <row r="14">
      <c r="A14" s="10" t="inlineStr">
        <is>
          <t>Team Ikigai</t>
        </is>
      </c>
      <c r="B14" s="10" t="inlineStr">
        <is>
          <t>SPD-3452</t>
        </is>
      </c>
      <c r="C14" s="10" t="inlineStr">
        <is>
          <t>Absent from the mapping CSV entirely</t>
        </is>
      </c>
      <c r="D14" s="10" t="inlineStr">
        <is>
          <t>SPD-3183</t>
        </is>
      </c>
      <c r="E14" s="10" t="inlineStr">
        <is>
          <t>Treated as non-WBSO. Add a row to the CSV if it should count.</t>
        </is>
      </c>
    </row>
    <row r="15">
      <c r="A15" s="10" t="inlineStr">
        <is>
          <t>Team Ikigai</t>
        </is>
      </c>
      <c r="B15" s="10" t="inlineStr">
        <is>
          <t>SPD-3478</t>
        </is>
      </c>
      <c r="C15" s="10" t="inlineStr">
        <is>
          <t>Absent from the mapping CSV entirely</t>
        </is>
      </c>
      <c r="D15" s="10" t="inlineStr">
        <is>
          <t>SPD-3290</t>
        </is>
      </c>
      <c r="E15" s="10" t="inlineStr">
        <is>
          <t>Treated as non-WBSO. Add a row to the CSV if it should count.</t>
        </is>
      </c>
    </row>
    <row r="16">
      <c r="A16" s="10" t="inlineStr">
        <is>
          <t>Team Samba</t>
        </is>
      </c>
      <c r="B16" s="10" t="inlineStr">
        <is>
          <t>SDO-8170</t>
        </is>
      </c>
      <c r="C16" s="10" t="inlineStr">
        <is>
          <t>Absent from the mapping CSV entirely</t>
        </is>
      </c>
      <c r="D16" s="10" t="inlineStr">
        <is>
          <t>SDO-7265</t>
        </is>
      </c>
      <c r="E16" s="10" t="inlineStr">
        <is>
          <t>Treated as non-WBSO. Add a row to the CSV if it should count.</t>
        </is>
      </c>
    </row>
    <row r="17">
      <c r="A17" s="10" t="inlineStr">
        <is>
          <t>Team Samba</t>
        </is>
      </c>
      <c r="B17" s="10" t="inlineStr">
        <is>
          <t>SDO-8305</t>
        </is>
      </c>
      <c r="C17" s="10" t="inlineStr">
        <is>
          <t>Absent from the mapping CSV entirely</t>
        </is>
      </c>
      <c r="D17" s="10" t="inlineStr">
        <is>
          <t>SDO-5668</t>
        </is>
      </c>
      <c r="E17" s="10" t="inlineStr">
        <is>
          <t>Treated as non-WBSO. Add a row to the CSV if it should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2026-08-21T17:56:10Z</dcterms:created>
  <dcterms:modified xsi:type="dcterms:W3CDTF">2026-08-21T17:56:10Z</dcterms:modified>
</cp:coreProperties>
</file>
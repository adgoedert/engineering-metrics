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Pastel de Portal Team" sheetId="3" state="visible" r:id="rId3"/>
    <sheet name="Platform Team 6" sheetId="4" state="visible" r:id="rId4"/>
    <sheet name="Team Horizon" sheetId="5" state="visible" r:id="rId5"/>
    <sheet name="Team Ikigai" sheetId="6" state="visible" r:id="rId6"/>
    <sheet name="Team Samba" sheetId="7" state="visible" r:id="rId7"/>
    <sheet name="YODA" sheetId="8" state="visible" r:id="rId8"/>
    <sheet name="Detail" sheetId="9" state="visible" r:id="rId9"/>
    <sheet name="Diagnostics" sheetId="10" state="visible" r:id="rId10"/>
  </sheets>
  <definedNames>
    <definedName name="_xlnm._FilterDatabase" localSheetId="1" hidden="1">'Summary'!$A$4:$J$10</definedName>
    <definedName name="_xlnm._FilterDatabase" localSheetId="8" hidden="1">'Detail'!$A$3:$G$122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Consolidated WBSO Hours — run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5">
      <c r="A5" s="3" t="inlineStr">
        <is>
          <t>Hours per engineer per day</t>
        </is>
      </c>
      <c r="B5" s="4" t="n">
        <v>8</v>
      </c>
    </row>
    <row r="6">
      <c r="A6" s="3" t="inlineStr">
        <is>
          <t>Reporting month</t>
        </is>
      </c>
      <c r="B6" s="5" t="inlineStr">
        <is>
          <t>2025-06</t>
        </is>
      </c>
    </row>
    <row r="7">
      <c r="A7" s="3" t="inlineStr">
        <is>
          <t>Teams in scope</t>
        </is>
      </c>
      <c r="B7" s="5" t="n">
        <v>6</v>
      </c>
    </row>
    <row r="8">
      <c r="A8" s="3" t="inlineStr">
        <is>
          <t>Teams with WBSO hours</t>
        </is>
      </c>
      <c r="B8" s="5" t="n">
        <v>6</v>
      </c>
    </row>
    <row r="9">
      <c r="A9" s="3" t="inlineStr">
        <is>
          <t>Epic filter</t>
        </is>
      </c>
      <c r="B9" s="5" t="inlineStr">
        <is>
          <t>WBSO epics flagged for each team</t>
        </is>
      </c>
    </row>
    <row r="10">
      <c r="A10" s="3" t="inlineStr">
        <is>
          <t>Mapping CSV</t>
        </is>
      </c>
      <c r="B10" s="5" t="inlineStr">
        <is>
          <t>epics-mapping.csv</t>
        </is>
      </c>
    </row>
    <row r="11">
      <c r="A11" s="3" t="inlineStr">
        <is>
          <t>Generated by</t>
        </is>
      </c>
      <c r="B11" s="5" t="inlineStr">
        <is>
          <t>engineering-metrics / consolidated-wbso-hours</t>
        </is>
      </c>
    </row>
    <row r="13">
      <c r="A13" s="6" t="inlineStr">
        <is>
          <t>Method</t>
        </is>
      </c>
    </row>
    <row r="14" ht="28" customHeight="1">
      <c r="A14" s="7" t="inlineStr">
        <is>
          <t>• A weekday on which an engineer held a ticket while it was In Progress makes that ticket active for them that day.</t>
        </is>
      </c>
    </row>
    <row r="15" ht="28" customHeight="1">
      <c r="A15" s="7" t="inlineStr">
        <is>
          <t>• Each engineer-day is worth at most the hours-per-day figure above, split equally across every ticket active that day.</t>
        </is>
      </c>
    </row>
    <row r="16" ht="28" customHeight="1">
      <c r="A16" s="7" t="inlineStr">
        <is>
          <t>• The split denominator is ALL tickets held that day, including non-WBSO ones. Filtering to WBSO removes rows but never inflates the hours remaining — important for a subsidy claim.</t>
        </is>
      </c>
    </row>
    <row r="17" ht="28" customHeight="1">
      <c r="A17" s="7" t="inlineStr">
        <is>
          <t>• An engineer working for two teams in the month is counted under each, so team capacity figures do not sum to a person-month.</t>
        </is>
      </c>
    </row>
    <row r="18" ht="28" customHeight="1">
      <c r="A18" s="7" t="inlineStr">
        <is>
          <t>• Weekends are excluded. Public holidays are NOT excluded.</t>
        </is>
      </c>
    </row>
    <row r="19" ht="28" customHeight="1">
      <c r="A19" s="7" t="inlineStr">
        <is>
          <t>• Hours on the Detail sheet are computed by the tool from the Jira changelog; they are inputs here, not sheet-derived. Every total above them is a formula.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WBSO hours per team</t>
        </is>
      </c>
    </row>
    <row r="2">
      <c r="A2" s="8" t="inlineStr">
        <is>
          <t>Hours are SUMIFS over Detail. Capacity = active engineer-days x hours-per-day (Assumptions!B5).</t>
        </is>
      </c>
    </row>
    <row r="4">
      <c r="A4" s="9" t="inlineStr">
        <is>
          <t>Team</t>
        </is>
      </c>
      <c r="B4" s="9" t="inlineStr">
        <is>
          <t>Jira key</t>
        </is>
      </c>
      <c r="C4" s="9" t="inlineStr">
        <is>
          <t>Sheet</t>
        </is>
      </c>
      <c r="D4" s="9" t="inlineStr">
        <is>
          <t>Engineers</t>
        </is>
      </c>
      <c r="E4" s="9" t="inlineStr">
        <is>
          <t>WBSO epics</t>
        </is>
      </c>
      <c r="F4" s="9" t="inlineStr">
        <is>
          <t>WBSO hours</t>
        </is>
      </c>
      <c r="G4" s="9" t="inlineStr">
        <is>
          <t>Active eng-days</t>
        </is>
      </c>
      <c r="H4" s="9" t="inlineStr">
        <is>
          <t>Capacity hours</t>
        </is>
      </c>
      <c r="I4" s="9" t="inlineStr">
        <is>
          <t>WBSO share</t>
        </is>
      </c>
      <c r="J4" s="9" t="inlineStr">
        <is>
          <t>Status</t>
        </is>
      </c>
    </row>
    <row r="5">
      <c r="A5" s="10" t="inlineStr">
        <is>
          <t>Pastel de Portal Team</t>
        </is>
      </c>
      <c r="B5" s="10" t="inlineStr">
        <is>
          <t>PT</t>
        </is>
      </c>
      <c r="C5" s="10" t="inlineStr">
        <is>
          <t>Pastel de Portal Team</t>
        </is>
      </c>
      <c r="D5" s="11" t="n">
        <v>8</v>
      </c>
      <c r="E5" s="11" t="n">
        <v>6</v>
      </c>
      <c r="F5" s="12">
        <f>SUMIFS(Detail!$G$4:$G$122,Detail!$A$4:$A$122,$A5)</f>
        <v/>
      </c>
      <c r="G5" s="11" t="n">
        <v>125</v>
      </c>
      <c r="H5" s="12">
        <f>$G5*Assumptions!$B$5</f>
        <v/>
      </c>
      <c r="I5" s="13">
        <f>IFERROR($F5/$H5,0)</f>
        <v/>
      </c>
      <c r="J5" s="10" t="inlineStr">
        <is>
          <t>79.9h across 8 engineer(s)</t>
        </is>
      </c>
    </row>
    <row r="6">
      <c r="A6" s="10" t="inlineStr">
        <is>
          <t>Platform Team 6</t>
        </is>
      </c>
      <c r="B6" s="10" t="inlineStr">
        <is>
          <t>PT6</t>
        </is>
      </c>
      <c r="C6" s="10" t="inlineStr">
        <is>
          <t>Platform Team 6</t>
        </is>
      </c>
      <c r="D6" s="11" t="n">
        <v>5</v>
      </c>
      <c r="E6" s="11" t="n">
        <v>5</v>
      </c>
      <c r="F6" s="12">
        <f>SUMIFS(Detail!$G$4:$G$122,Detail!$A$4:$A$122,$A6)</f>
        <v/>
      </c>
      <c r="G6" s="11" t="n">
        <v>96</v>
      </c>
      <c r="H6" s="12">
        <f>$G6*Assumptions!$B$5</f>
        <v/>
      </c>
      <c r="I6" s="13">
        <f>IFERROR($F6/$H6,0)</f>
        <v/>
      </c>
      <c r="J6" s="10" t="inlineStr">
        <is>
          <t>155.3h across 5 engineer(s)</t>
        </is>
      </c>
    </row>
    <row r="7">
      <c r="A7" s="10" t="inlineStr">
        <is>
          <t>Team Horizon</t>
        </is>
      </c>
      <c r="B7" s="10" t="inlineStr">
        <is>
          <t>SUK</t>
        </is>
      </c>
      <c r="C7" s="10" t="inlineStr">
        <is>
          <t>Team Horizon</t>
        </is>
      </c>
      <c r="D7" s="11" t="n">
        <v>9</v>
      </c>
      <c r="E7" s="11" t="n">
        <v>13</v>
      </c>
      <c r="F7" s="12">
        <f>SUMIFS(Detail!$G$4:$G$122,Detail!$A$4:$A$122,$A7)</f>
        <v/>
      </c>
      <c r="G7" s="11" t="n">
        <v>178</v>
      </c>
      <c r="H7" s="12">
        <f>$G7*Assumptions!$B$5</f>
        <v/>
      </c>
      <c r="I7" s="13">
        <f>IFERROR($F7/$H7,0)</f>
        <v/>
      </c>
      <c r="J7" s="10" t="inlineStr">
        <is>
          <t>146.9h across 9 engineer(s)</t>
        </is>
      </c>
    </row>
    <row r="8">
      <c r="A8" s="10" t="inlineStr">
        <is>
          <t>Team Ikigai</t>
        </is>
      </c>
      <c r="B8" s="10" t="inlineStr">
        <is>
          <t>SPD</t>
        </is>
      </c>
      <c r="C8" s="10" t="inlineStr">
        <is>
          <t>Team Ikigai</t>
        </is>
      </c>
      <c r="D8" s="11" t="n">
        <v>10</v>
      </c>
      <c r="E8" s="11" t="n">
        <v>25</v>
      </c>
      <c r="F8" s="12">
        <f>SUMIFS(Detail!$G$4:$G$122,Detail!$A$4:$A$122,$A8)</f>
        <v/>
      </c>
      <c r="G8" s="11" t="n">
        <v>190</v>
      </c>
      <c r="H8" s="12">
        <f>$G8*Assumptions!$B$5</f>
        <v/>
      </c>
      <c r="I8" s="13">
        <f>IFERROR($F8/$H8,0)</f>
        <v/>
      </c>
      <c r="J8" s="10" t="inlineStr">
        <is>
          <t>1208.7h across 10 engineer(s)</t>
        </is>
      </c>
    </row>
    <row r="9">
      <c r="A9" s="10" t="inlineStr">
        <is>
          <t>Team Samba</t>
        </is>
      </c>
      <c r="B9" s="10" t="inlineStr">
        <is>
          <t>SDO</t>
        </is>
      </c>
      <c r="C9" s="10" t="inlineStr">
        <is>
          <t>Team Samba</t>
        </is>
      </c>
      <c r="D9" s="11" t="n">
        <v>8</v>
      </c>
      <c r="E9" s="11" t="n">
        <v>18</v>
      </c>
      <c r="F9" s="12">
        <f>SUMIFS(Detail!$G$4:$G$122,Detail!$A$4:$A$122,$A9)</f>
        <v/>
      </c>
      <c r="G9" s="11" t="n">
        <v>160</v>
      </c>
      <c r="H9" s="12">
        <f>$G9*Assumptions!$B$5</f>
        <v/>
      </c>
      <c r="I9" s="13">
        <f>IFERROR($F9/$H9,0)</f>
        <v/>
      </c>
      <c r="J9" s="10" t="inlineStr">
        <is>
          <t>449.4h across 8 engineer(s)</t>
        </is>
      </c>
    </row>
    <row r="10">
      <c r="A10" s="10" t="inlineStr">
        <is>
          <t>YODA</t>
        </is>
      </c>
      <c r="B10" s="10" t="inlineStr">
        <is>
          <t>YODA</t>
        </is>
      </c>
      <c r="C10" s="10" t="inlineStr">
        <is>
          <t>YODA</t>
        </is>
      </c>
      <c r="D10" s="11" t="n">
        <v>8</v>
      </c>
      <c r="E10" s="11" t="n">
        <v>29</v>
      </c>
      <c r="F10" s="12">
        <f>SUMIFS(Detail!$G$4:$G$122,Detail!$A$4:$A$122,$A10)</f>
        <v/>
      </c>
      <c r="G10" s="11" t="n">
        <v>100</v>
      </c>
      <c r="H10" s="12">
        <f>$G10*Assumptions!$B$5</f>
        <v/>
      </c>
      <c r="I10" s="13">
        <f>IFERROR($F10/$H10,0)</f>
        <v/>
      </c>
      <c r="J10" s="10" t="inlineStr">
        <is>
          <t>675.5h across 8 engineer(s)</t>
        </is>
      </c>
    </row>
    <row r="12">
      <c r="A12" s="3" t="inlineStr">
        <is>
          <t>ALL TEAMS</t>
        </is>
      </c>
      <c r="D12" s="14">
        <f>SUM(D5:D10)</f>
        <v/>
      </c>
      <c r="E12" s="14">
        <f>SUM(E5:E10)</f>
        <v/>
      </c>
      <c r="F12" s="15">
        <f>SUM(F5:F10)</f>
        <v/>
      </c>
      <c r="G12" s="14">
        <f>SUM(G5:G10)</f>
        <v/>
      </c>
      <c r="H12" s="15">
        <f>SUM(H5:H10)</f>
        <v/>
      </c>
      <c r="I12" s="16">
        <f>IFERROR($F12/$H12,0)</f>
        <v/>
      </c>
    </row>
  </sheetData>
  <autoFilter ref="A4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Pastel de Portal Team — WBSO hours, 2025-06</t>
        </is>
      </c>
    </row>
    <row r="2">
      <c r="A2" s="5" t="inlineStr">
        <is>
          <t>Pastel de Portal Team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gustavo.palminha</t>
        </is>
      </c>
      <c r="B5" s="10" t="inlineStr">
        <is>
          <t>PT-22</t>
        </is>
      </c>
      <c r="C5" s="10" t="inlineStr">
        <is>
          <t>PT-22 VOP Single Check</t>
        </is>
      </c>
      <c r="D5" s="12">
        <f>SUMIFS(Detail!$G$4:$G$122,Detail!$A$4:$A$122,$A$2,Detail!$B$4:$B$122,$A5,Detail!$C$4:$C$122,$B5)</f>
        <v/>
      </c>
    </row>
    <row r="6">
      <c r="A6" s="10" t="inlineStr">
        <is>
          <t>alan.silva</t>
        </is>
      </c>
      <c r="B6" s="10" t="inlineStr">
        <is>
          <t>PT-22</t>
        </is>
      </c>
      <c r="C6" s="10" t="inlineStr">
        <is>
          <t>PT-22 VOP Single Check</t>
        </is>
      </c>
      <c r="D6" s="12">
        <f>SUMIFS(Detail!$G$4:$G$122,Detail!$A$4:$A$122,$A$2,Detail!$B$4:$B$122,$A6,Detail!$C$4:$C$122,$B6)</f>
        <v/>
      </c>
    </row>
    <row r="7">
      <c r="A7" s="10" t="inlineStr">
        <is>
          <t>alan.silva</t>
        </is>
      </c>
      <c r="B7" s="10" t="inlineStr">
        <is>
          <t>PT-54</t>
        </is>
      </c>
      <c r="C7" s="10" t="inlineStr">
        <is>
          <t>PT-54 VOP File Check</t>
        </is>
      </c>
      <c r="D7" s="12">
        <f>SUMIFS(Detail!$G$4:$G$122,Detail!$A$4:$A$122,$A$2,Detail!$B$4:$B$122,$A7,Detail!$C$4:$C$122,$B7)</f>
        <v/>
      </c>
    </row>
    <row r="8">
      <c r="A8" s="10" t="inlineStr">
        <is>
          <t>Vitor Fernandes</t>
        </is>
      </c>
      <c r="B8" s="10" t="inlineStr">
        <is>
          <t>PT-54</t>
        </is>
      </c>
      <c r="C8" s="10" t="inlineStr">
        <is>
          <t>PT-54 VOP File Check</t>
        </is>
      </c>
      <c r="D8" s="12">
        <f>SUMIFS(Detail!$G$4:$G$122,Detail!$A$4:$A$122,$A$2,Detail!$B$4:$B$122,$A8,Detail!$C$4:$C$122,$B8)</f>
        <v/>
      </c>
    </row>
    <row r="9">
      <c r="A9" s="17" t="n"/>
      <c r="B9" s="17" t="n"/>
      <c r="C9" s="18" t="inlineStr">
        <is>
          <t>TEAM TOTAL</t>
        </is>
      </c>
      <c r="D9" s="19">
        <f>SUM(D5:D8)</f>
        <v/>
      </c>
    </row>
    <row r="12">
      <c r="A12" s="6" t="inlineStr">
        <is>
          <t>Per engineer</t>
        </is>
      </c>
    </row>
    <row r="13">
      <c r="A13" s="9" t="inlineStr">
        <is>
          <t>Engineer</t>
        </is>
      </c>
      <c r="B13" s="9" t="inlineStr">
        <is>
          <t>WBSO hours</t>
        </is>
      </c>
      <c r="C13" s="9" t="inlineStr">
        <is>
          <t>Day equivalent</t>
        </is>
      </c>
      <c r="D13" s="9" t="inlineStr">
        <is>
          <t>Active days</t>
        </is>
      </c>
      <c r="E13" s="9" t="inlineStr">
        <is>
          <t>Capacity hours</t>
        </is>
      </c>
      <c r="F13" s="9" t="inlineStr">
        <is>
          <t>WBSO share</t>
        </is>
      </c>
      <c r="G13" s="9" t="inlineStr">
        <is>
          <t>Peak tickets/day</t>
        </is>
      </c>
    </row>
    <row r="14">
      <c r="A14" s="10" t="inlineStr">
        <is>
          <t>gustavo.palminha</t>
        </is>
      </c>
      <c r="B14" s="12">
        <f>SUMIFS(Detail!$G$4:$G$122,Detail!$A$4:$A$122,$A$2,Detail!$B$4:$B$122,$A14)</f>
        <v/>
      </c>
      <c r="C14" s="12">
        <f>IFERROR($B14/Assumptions!$B$5,0)</f>
        <v/>
      </c>
      <c r="D14" s="11" t="n">
        <v>21</v>
      </c>
      <c r="E14" s="12">
        <f>$D14*Assumptions!$B$5</f>
        <v/>
      </c>
      <c r="F14" s="13">
        <f>IFERROR($B14/$E14,0)</f>
        <v/>
      </c>
      <c r="G14" s="11" t="inlineStr">
        <is>
          <t>6 on 24 Jun</t>
        </is>
      </c>
    </row>
    <row r="15">
      <c r="A15" s="10" t="inlineStr">
        <is>
          <t>alan.silva</t>
        </is>
      </c>
      <c r="B15" s="12">
        <f>SUMIFS(Detail!$G$4:$G$122,Detail!$A$4:$A$122,$A$2,Detail!$B$4:$B$122,$A15)</f>
        <v/>
      </c>
      <c r="C15" s="12">
        <f>IFERROR($B15/Assumptions!$B$5,0)</f>
        <v/>
      </c>
      <c r="D15" s="11" t="n">
        <v>12</v>
      </c>
      <c r="E15" s="12">
        <f>$D15*Assumptions!$B$5</f>
        <v/>
      </c>
      <c r="F15" s="13">
        <f>IFERROR($B15/$E15,0)</f>
        <v/>
      </c>
      <c r="G15" s="11" t="inlineStr">
        <is>
          <t>6 on 26 Jun</t>
        </is>
      </c>
    </row>
    <row r="16">
      <c r="A16" s="10" t="inlineStr">
        <is>
          <t>Vitor Fernandes</t>
        </is>
      </c>
      <c r="B16" s="12">
        <f>SUMIFS(Detail!$G$4:$G$122,Detail!$A$4:$A$122,$A$2,Detail!$B$4:$B$122,$A16)</f>
        <v/>
      </c>
      <c r="C16" s="12">
        <f>IFERROR($B16/Assumptions!$B$5,0)</f>
        <v/>
      </c>
      <c r="D16" s="11" t="n">
        <v>22</v>
      </c>
      <c r="E16" s="12">
        <f>$D16*Assumptions!$B$5</f>
        <v/>
      </c>
      <c r="F16" s="13">
        <f>IFERROR($B16/$E16,0)</f>
        <v/>
      </c>
      <c r="G16" s="11" t="inlineStr">
        <is>
          <t>7 on 11 Jun</t>
        </is>
      </c>
    </row>
    <row r="17">
      <c r="A17" s="3" t="inlineStr">
        <is>
          <t>TOTAL</t>
        </is>
      </c>
      <c r="B17" s="15">
        <f>SUM(B14:B16)</f>
        <v/>
      </c>
      <c r="C17" s="15">
        <f>SUM(C14:C16)</f>
        <v/>
      </c>
      <c r="D17" s="15">
        <f>SUM(D14:D16)</f>
        <v/>
      </c>
      <c r="E17" s="15">
        <f>SUM(E14:E16)</f>
        <v/>
      </c>
      <c r="F17" s="16">
        <f>IFERROR($B17/$E17,0)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Platform Team 6 — WBSO hours, 2025-06</t>
        </is>
      </c>
    </row>
    <row r="2">
      <c r="A2" s="5" t="inlineStr">
        <is>
          <t>Platform Team 6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Elton Qevani</t>
        </is>
      </c>
      <c r="B5" s="10" t="inlineStr">
        <is>
          <t>PT6-1670</t>
        </is>
      </c>
      <c r="C5" s="10" t="inlineStr">
        <is>
          <t xml:space="preserve">PT6-1670 Multi region </t>
        </is>
      </c>
      <c r="D5" s="12">
        <f>SUMIFS(Detail!$G$4:$G$122,Detail!$A$4:$A$122,$A$2,Detail!$B$4:$B$122,$A5,Detail!$C$4:$C$122,$B5)</f>
        <v/>
      </c>
    </row>
    <row r="6">
      <c r="A6" s="10" t="inlineStr">
        <is>
          <t>Elton Qevani</t>
        </is>
      </c>
      <c r="B6" s="10" t="inlineStr">
        <is>
          <t>PT6-1713</t>
        </is>
      </c>
      <c r="C6" s="10" t="inlineStr">
        <is>
          <t>PT6-1713 Autoscaling</t>
        </is>
      </c>
      <c r="D6" s="12">
        <f>SUMIFS(Detail!$G$4:$G$122,Detail!$A$4:$A$122,$A$2,Detail!$B$4:$B$122,$A6,Detail!$C$4:$C$122,$B6)</f>
        <v/>
      </c>
    </row>
    <row r="7">
      <c r="A7" s="10" t="inlineStr">
        <is>
          <t>Venkata Narendra Mannam</t>
        </is>
      </c>
      <c r="B7" s="10" t="inlineStr">
        <is>
          <t>PT6-1419</t>
        </is>
      </c>
      <c r="C7" s="10" t="inlineStr">
        <is>
          <t>PT6-1419 Traefik migration V3</t>
        </is>
      </c>
      <c r="D7" s="12">
        <f>SUMIFS(Detail!$G$4:$G$122,Detail!$A$4:$A$122,$A$2,Detail!$B$4:$B$122,$A7,Detail!$C$4:$C$122,$B7)</f>
        <v/>
      </c>
    </row>
    <row r="8">
      <c r="A8" s="10" t="inlineStr">
        <is>
          <t>Mete Han Karacüllü</t>
        </is>
      </c>
      <c r="B8" s="10" t="inlineStr">
        <is>
          <t>PT6-1670</t>
        </is>
      </c>
      <c r="C8" s="10" t="inlineStr">
        <is>
          <t xml:space="preserve">PT6-1670 Multi region </t>
        </is>
      </c>
      <c r="D8" s="12">
        <f>SUMIFS(Detail!$G$4:$G$122,Detail!$A$4:$A$122,$A$2,Detail!$B$4:$B$122,$A8,Detail!$C$4:$C$122,$B8)</f>
        <v/>
      </c>
    </row>
    <row r="9">
      <c r="A9" s="10" t="inlineStr">
        <is>
          <t>Mete Han Karacüllü</t>
        </is>
      </c>
      <c r="B9" s="10" t="inlineStr">
        <is>
          <t>PT6-1713</t>
        </is>
      </c>
      <c r="C9" s="10" t="inlineStr">
        <is>
          <t>PT6-1713 Autoscaling</t>
        </is>
      </c>
      <c r="D9" s="12">
        <f>SUMIFS(Detail!$G$4:$G$122,Detail!$A$4:$A$122,$A$2,Detail!$B$4:$B$122,$A9,Detail!$C$4:$C$122,$B9)</f>
        <v/>
      </c>
    </row>
    <row r="10">
      <c r="A10" s="17" t="n"/>
      <c r="B10" s="17" t="n"/>
      <c r="C10" s="18" t="inlineStr">
        <is>
          <t>TEAM TOTAL</t>
        </is>
      </c>
      <c r="D10" s="19">
        <f>SUM(D5:D9)</f>
        <v/>
      </c>
    </row>
    <row r="13">
      <c r="A13" s="6" t="inlineStr">
        <is>
          <t>Per engineer</t>
        </is>
      </c>
    </row>
    <row r="14">
      <c r="A14" s="9" t="inlineStr">
        <is>
          <t>Engineer</t>
        </is>
      </c>
      <c r="B14" s="9" t="inlineStr">
        <is>
          <t>WBSO hours</t>
        </is>
      </c>
      <c r="C14" s="9" t="inlineStr">
        <is>
          <t>Day equivalent</t>
        </is>
      </c>
      <c r="D14" s="9" t="inlineStr">
        <is>
          <t>Active days</t>
        </is>
      </c>
      <c r="E14" s="9" t="inlineStr">
        <is>
          <t>Capacity hours</t>
        </is>
      </c>
      <c r="F14" s="9" t="inlineStr">
        <is>
          <t>WBSO share</t>
        </is>
      </c>
      <c r="G14" s="9" t="inlineStr">
        <is>
          <t>Peak tickets/day</t>
        </is>
      </c>
    </row>
    <row r="15">
      <c r="A15" s="10" t="inlineStr">
        <is>
          <t>Elton Qevani</t>
        </is>
      </c>
      <c r="B15" s="12">
        <f>SUMIFS(Detail!$G$4:$G$122,Detail!$A$4:$A$122,$A$2,Detail!$B$4:$B$122,$A15)</f>
        <v/>
      </c>
      <c r="C15" s="12">
        <f>IFERROR($B15/Assumptions!$B$5,0)</f>
        <v/>
      </c>
      <c r="D15" s="11" t="n">
        <v>22</v>
      </c>
      <c r="E15" s="12">
        <f>$D15*Assumptions!$B$5</f>
        <v/>
      </c>
      <c r="F15" s="13">
        <f>IFERROR($B15/$E15,0)</f>
        <v/>
      </c>
      <c r="G15" s="11" t="inlineStr">
        <is>
          <t>4 on 25 Jun</t>
        </is>
      </c>
    </row>
    <row r="16">
      <c r="A16" s="10" t="inlineStr">
        <is>
          <t>Venkata Narendra Mannam</t>
        </is>
      </c>
      <c r="B16" s="12">
        <f>SUMIFS(Detail!$G$4:$G$122,Detail!$A$4:$A$122,$A$2,Detail!$B$4:$B$122,$A16)</f>
        <v/>
      </c>
      <c r="C16" s="12">
        <f>IFERROR($B16/Assumptions!$B$5,0)</f>
        <v/>
      </c>
      <c r="D16" s="11" t="n">
        <v>22</v>
      </c>
      <c r="E16" s="12">
        <f>$D16*Assumptions!$B$5</f>
        <v/>
      </c>
      <c r="F16" s="13">
        <f>IFERROR($B16/$E16,0)</f>
        <v/>
      </c>
      <c r="G16" s="11" t="inlineStr">
        <is>
          <t>2 on 02 Jun</t>
        </is>
      </c>
    </row>
    <row r="17">
      <c r="A17" s="10" t="inlineStr">
        <is>
          <t>Mete Han Karacüllü</t>
        </is>
      </c>
      <c r="B17" s="12">
        <f>SUMIFS(Detail!$G$4:$G$122,Detail!$A$4:$A$122,$A$2,Detail!$B$4:$B$122,$A17)</f>
        <v/>
      </c>
      <c r="C17" s="12">
        <f>IFERROR($B17/Assumptions!$B$5,0)</f>
        <v/>
      </c>
      <c r="D17" s="11" t="n">
        <v>22</v>
      </c>
      <c r="E17" s="12">
        <f>$D17*Assumptions!$B$5</f>
        <v/>
      </c>
      <c r="F17" s="13">
        <f>IFERROR($B17/$E17,0)</f>
        <v/>
      </c>
      <c r="G17" s="11" t="inlineStr">
        <is>
          <t>3 on 02 Jun</t>
        </is>
      </c>
    </row>
    <row r="18">
      <c r="A18" s="3" t="inlineStr">
        <is>
          <t>TOTAL</t>
        </is>
      </c>
      <c r="B18" s="15">
        <f>SUM(B15:B17)</f>
        <v/>
      </c>
      <c r="C18" s="15">
        <f>SUM(C15:C17)</f>
        <v/>
      </c>
      <c r="D18" s="15">
        <f>SUM(D15:D17)</f>
        <v/>
      </c>
      <c r="E18" s="15">
        <f>SUM(E15:E17)</f>
        <v/>
      </c>
      <c r="F18" s="16">
        <f>IFERROR($B18/$E18,0)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Horizon — WBSO hours, 2025-06</t>
        </is>
      </c>
    </row>
    <row r="2">
      <c r="A2" s="5" t="inlineStr">
        <is>
          <t>Team Horizon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Ryan Shepherd</t>
        </is>
      </c>
      <c r="B5" s="10" t="inlineStr">
        <is>
          <t>SUK-5337</t>
        </is>
      </c>
      <c r="C5" s="10" t="inlineStr">
        <is>
          <t xml:space="preserve">SUK-5337 VOP EDS Integration Implementation </t>
        </is>
      </c>
      <c r="D5" s="12">
        <f>SUMIFS(Detail!$G$4:$G$122,Detail!$A$4:$A$122,$A$2,Detail!$B$4:$B$122,$A5,Detail!$C$4:$C$122,$B5)</f>
        <v/>
      </c>
    </row>
    <row r="6">
      <c r="A6" s="10" t="inlineStr">
        <is>
          <t>Ryan Shepherd</t>
        </is>
      </c>
      <c r="B6" s="10" t="inlineStr">
        <is>
          <t>SUK-5466</t>
        </is>
      </c>
      <c r="C6" s="10" t="inlineStr">
        <is>
          <t>SUK-5466 VOP Outbound Adaptor</t>
        </is>
      </c>
      <c r="D6" s="12">
        <f>SUMIFS(Detail!$G$4:$G$122,Detail!$A$4:$A$122,$A$2,Detail!$B$4:$B$122,$A6,Detail!$C$4:$C$122,$B6)</f>
        <v/>
      </c>
    </row>
    <row r="7">
      <c r="A7" s="10" t="inlineStr">
        <is>
          <t>Prabhukiran Narava</t>
        </is>
      </c>
      <c r="B7" s="10" t="inlineStr">
        <is>
          <t>SUK-5337</t>
        </is>
      </c>
      <c r="C7" s="10" t="inlineStr">
        <is>
          <t xml:space="preserve">SUK-5337 VOP EDS Integration Implementation </t>
        </is>
      </c>
      <c r="D7" s="12">
        <f>SUMIFS(Detail!$G$4:$G$122,Detail!$A$4:$A$122,$A$2,Detail!$B$4:$B$122,$A7,Detail!$C$4:$C$122,$B7)</f>
        <v/>
      </c>
    </row>
    <row r="8">
      <c r="A8" s="10" t="inlineStr">
        <is>
          <t>Prabhukiran Narava</t>
        </is>
      </c>
      <c r="B8" s="10" t="inlineStr">
        <is>
          <t>SUK-5466</t>
        </is>
      </c>
      <c r="C8" s="10" t="inlineStr">
        <is>
          <t>SUK-5466 VOP Outbound Adaptor</t>
        </is>
      </c>
      <c r="D8" s="12">
        <f>SUMIFS(Detail!$G$4:$G$122,Detail!$A$4:$A$122,$A$2,Detail!$B$4:$B$122,$A8,Detail!$C$4:$C$122,$B8)</f>
        <v/>
      </c>
    </row>
    <row r="9">
      <c r="A9" s="10" t="inlineStr">
        <is>
          <t>Sanjay Chaudhary</t>
        </is>
      </c>
      <c r="B9" s="10" t="inlineStr">
        <is>
          <t>SUK-5466</t>
        </is>
      </c>
      <c r="C9" s="10" t="inlineStr">
        <is>
          <t>SUK-5466 VOP Outbound Adaptor</t>
        </is>
      </c>
      <c r="D9" s="12">
        <f>SUMIFS(Detail!$G$4:$G$122,Detail!$A$4:$A$122,$A$2,Detail!$B$4:$B$122,$A9,Detail!$C$4:$C$122,$B9)</f>
        <v/>
      </c>
    </row>
    <row r="10">
      <c r="A10" s="10" t="inlineStr">
        <is>
          <t>Santosh Kotkar</t>
        </is>
      </c>
      <c r="B10" s="10" t="inlineStr">
        <is>
          <t>SUK-5337</t>
        </is>
      </c>
      <c r="C10" s="10" t="inlineStr">
        <is>
          <t xml:space="preserve">SUK-5337 VOP EDS Integration Implementation </t>
        </is>
      </c>
      <c r="D10" s="12">
        <f>SUMIFS(Detail!$G$4:$G$122,Detail!$A$4:$A$122,$A$2,Detail!$B$4:$B$122,$A10,Detail!$C$4:$C$122,$B10)</f>
        <v/>
      </c>
    </row>
    <row r="11">
      <c r="A11" s="10" t="inlineStr">
        <is>
          <t>Santosh Kotkar</t>
        </is>
      </c>
      <c r="B11" s="10" t="inlineStr">
        <is>
          <t>SUK-5466</t>
        </is>
      </c>
      <c r="C11" s="10" t="inlineStr">
        <is>
          <t>SUK-5466 VOP Outbound Adaptor</t>
        </is>
      </c>
      <c r="D11" s="12">
        <f>SUMIFS(Detail!$G$4:$G$122,Detail!$A$4:$A$122,$A$2,Detail!$B$4:$B$122,$A11,Detail!$C$4:$C$122,$B11)</f>
        <v/>
      </c>
    </row>
    <row r="12">
      <c r="A12" s="17" t="n"/>
      <c r="B12" s="17" t="n"/>
      <c r="C12" s="18" t="inlineStr">
        <is>
          <t>TEAM TOTAL</t>
        </is>
      </c>
      <c r="D12" s="19">
        <f>SUM(D5:D11)</f>
        <v/>
      </c>
    </row>
    <row r="15">
      <c r="A15" s="6" t="inlineStr">
        <is>
          <t>Per engineer</t>
        </is>
      </c>
    </row>
    <row r="16">
      <c r="A16" s="9" t="inlineStr">
        <is>
          <t>Engineer</t>
        </is>
      </c>
      <c r="B16" s="9" t="inlineStr">
        <is>
          <t>WBSO hours</t>
        </is>
      </c>
      <c r="C16" s="9" t="inlineStr">
        <is>
          <t>Day equivalent</t>
        </is>
      </c>
      <c r="D16" s="9" t="inlineStr">
        <is>
          <t>Active days</t>
        </is>
      </c>
      <c r="E16" s="9" t="inlineStr">
        <is>
          <t>Capacity hours</t>
        </is>
      </c>
      <c r="F16" s="9" t="inlineStr">
        <is>
          <t>WBSO share</t>
        </is>
      </c>
      <c r="G16" s="9" t="inlineStr">
        <is>
          <t>Peak tickets/day</t>
        </is>
      </c>
    </row>
    <row r="17">
      <c r="A17" s="10" t="inlineStr">
        <is>
          <t>Ryan Shepherd</t>
        </is>
      </c>
      <c r="B17" s="12">
        <f>SUMIFS(Detail!$G$4:$G$122,Detail!$A$4:$A$122,$A$2,Detail!$B$4:$B$122,$A17)</f>
        <v/>
      </c>
      <c r="C17" s="12">
        <f>IFERROR($B17/Assumptions!$B$5,0)</f>
        <v/>
      </c>
      <c r="D17" s="11" t="n">
        <v>20</v>
      </c>
      <c r="E17" s="12">
        <f>$D17*Assumptions!$B$5</f>
        <v/>
      </c>
      <c r="F17" s="13">
        <f>IFERROR($B17/$E17,0)</f>
        <v/>
      </c>
      <c r="G17" s="11" t="inlineStr">
        <is>
          <t>5 on 06 Jun</t>
        </is>
      </c>
    </row>
    <row r="18">
      <c r="A18" s="10" t="inlineStr">
        <is>
          <t>Prabhukiran Narava</t>
        </is>
      </c>
      <c r="B18" s="12">
        <f>SUMIFS(Detail!$G$4:$G$122,Detail!$A$4:$A$122,$A$2,Detail!$B$4:$B$122,$A18)</f>
        <v/>
      </c>
      <c r="C18" s="12">
        <f>IFERROR($B18/Assumptions!$B$5,0)</f>
        <v/>
      </c>
      <c r="D18" s="11" t="n">
        <v>22</v>
      </c>
      <c r="E18" s="12">
        <f>$D18*Assumptions!$B$5</f>
        <v/>
      </c>
      <c r="F18" s="13">
        <f>IFERROR($B18/$E18,0)</f>
        <v/>
      </c>
      <c r="G18" s="11" t="inlineStr">
        <is>
          <t>4 on 20 Jun</t>
        </is>
      </c>
    </row>
    <row r="19">
      <c r="A19" s="10" t="inlineStr">
        <is>
          <t>Sanjay Chaudhary</t>
        </is>
      </c>
      <c r="B19" s="12">
        <f>SUMIFS(Detail!$G$4:$G$122,Detail!$A$4:$A$122,$A$2,Detail!$B$4:$B$122,$A19)</f>
        <v/>
      </c>
      <c r="C19" s="12">
        <f>IFERROR($B19/Assumptions!$B$5,0)</f>
        <v/>
      </c>
      <c r="D19" s="11" t="n">
        <v>22</v>
      </c>
      <c r="E19" s="12">
        <f>$D19*Assumptions!$B$5</f>
        <v/>
      </c>
      <c r="F19" s="13">
        <f>IFERROR($B19/$E19,0)</f>
        <v/>
      </c>
      <c r="G19" s="11" t="inlineStr">
        <is>
          <t>11 on 23 Jun</t>
        </is>
      </c>
    </row>
    <row r="20">
      <c r="A20" s="10" t="inlineStr">
        <is>
          <t>Santosh Kotkar</t>
        </is>
      </c>
      <c r="B20" s="12">
        <f>SUMIFS(Detail!$G$4:$G$122,Detail!$A$4:$A$122,$A$2,Detail!$B$4:$B$122,$A20)</f>
        <v/>
      </c>
      <c r="C20" s="12">
        <f>IFERROR($B20/Assumptions!$B$5,0)</f>
        <v/>
      </c>
      <c r="D20" s="11" t="n">
        <v>21</v>
      </c>
      <c r="E20" s="12">
        <f>$D20*Assumptions!$B$5</f>
        <v/>
      </c>
      <c r="F20" s="13">
        <f>IFERROR($B20/$E20,0)</f>
        <v/>
      </c>
      <c r="G20" s="11" t="inlineStr">
        <is>
          <t>2 on 12 Jun</t>
        </is>
      </c>
    </row>
    <row r="21">
      <c r="A21" s="3" t="inlineStr">
        <is>
          <t>TOTAL</t>
        </is>
      </c>
      <c r="B21" s="15">
        <f>SUM(B17:B20)</f>
        <v/>
      </c>
      <c r="C21" s="15">
        <f>SUM(C17:C20)</f>
        <v/>
      </c>
      <c r="D21" s="15">
        <f>SUM(D17:D20)</f>
        <v/>
      </c>
      <c r="E21" s="15">
        <f>SUM(E17:E20)</f>
        <v/>
      </c>
      <c r="F21" s="16">
        <f>IFERROR($B21/$E21,0)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Ikigai — WBSO hours, 2025-06</t>
        </is>
      </c>
    </row>
    <row r="2">
      <c r="A2" s="5" t="inlineStr">
        <is>
          <t>Team Ikigai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Gerard Veldman</t>
        </is>
      </c>
      <c r="B5" s="10" t="inlineStr">
        <is>
          <t>SPD-2724</t>
        </is>
      </c>
      <c r="C5" s="10" t="inlineStr">
        <is>
          <t>SPD-2724 VoP Bulk Checker Iteration 1</t>
        </is>
      </c>
      <c r="D5" s="12">
        <f>SUMIFS(Detail!$G$4:$G$122,Detail!$A$4:$A$122,$A$2,Detail!$B$4:$B$122,$A5,Detail!$C$4:$C$122,$B5)</f>
        <v/>
      </c>
    </row>
    <row r="6">
      <c r="A6" s="10" t="inlineStr">
        <is>
          <t>Juanma Tastzian</t>
        </is>
      </c>
      <c r="B6" s="10" t="inlineStr">
        <is>
          <t>SPD-2716</t>
        </is>
      </c>
      <c r="C6" s="10" t="inlineStr">
        <is>
          <t>SPD-2716 VoP Data Hosting Interation 1</t>
        </is>
      </c>
      <c r="D6" s="12">
        <f>SUMIFS(Detail!$G$4:$G$122,Detail!$A$4:$A$122,$A$2,Detail!$B$4:$B$122,$A6,Detail!$C$4:$C$122,$B6)</f>
        <v/>
      </c>
    </row>
    <row r="7">
      <c r="A7" s="10" t="inlineStr">
        <is>
          <t>Juanma Tastzian</t>
        </is>
      </c>
      <c r="B7" s="10" t="inlineStr">
        <is>
          <t>SPD-2723</t>
        </is>
      </c>
      <c r="C7" s="10" t="inlineStr">
        <is>
          <t>SPD-2723 VoP Algorithm for BE GoLive</t>
        </is>
      </c>
      <c r="D7" s="12">
        <f>SUMIFS(Detail!$G$4:$G$122,Detail!$A$4:$A$122,$A$2,Detail!$B$4:$B$122,$A7,Detail!$C$4:$C$122,$B7)</f>
        <v/>
      </c>
    </row>
    <row r="8">
      <c r="A8" s="10" t="inlineStr">
        <is>
          <t>Juanma Tastzian</t>
        </is>
      </c>
      <c r="B8" s="10" t="inlineStr">
        <is>
          <t>SPD-2834</t>
        </is>
      </c>
      <c r="C8" s="10" t="inlineStr">
        <is>
          <t>SPD-2834 VoP Data Hosting Iteration 2</t>
        </is>
      </c>
      <c r="D8" s="12">
        <f>SUMIFS(Detail!$G$4:$G$122,Detail!$A$4:$A$122,$A$2,Detail!$B$4:$B$122,$A8,Detail!$C$4:$C$122,$B8)</f>
        <v/>
      </c>
    </row>
    <row r="9">
      <c r="A9" s="10" t="inlineStr">
        <is>
          <t>Elisabeth Gie</t>
        </is>
      </c>
      <c r="B9" s="10" t="inlineStr">
        <is>
          <t>SPD-2749</t>
        </is>
      </c>
      <c r="C9" s="10" t="inlineStr">
        <is>
          <t>SPD-2749 VoP Data Hosting Ingester v1</t>
        </is>
      </c>
      <c r="D9" s="12">
        <f>SUMIFS(Detail!$G$4:$G$122,Detail!$A$4:$A$122,$A$2,Detail!$B$4:$B$122,$A9,Detail!$C$4:$C$122,$B9)</f>
        <v/>
      </c>
    </row>
    <row r="10">
      <c r="A10" s="10" t="inlineStr">
        <is>
          <t>Diego Silva</t>
        </is>
      </c>
      <c r="B10" s="10" t="inlineStr">
        <is>
          <t>SPD-2716</t>
        </is>
      </c>
      <c r="C10" s="10" t="inlineStr">
        <is>
          <t>SPD-2716 VoP Data Hosting Interation 1</t>
        </is>
      </c>
      <c r="D10" s="12">
        <f>SUMIFS(Detail!$G$4:$G$122,Detail!$A$4:$A$122,$A$2,Detail!$B$4:$B$122,$A10,Detail!$C$4:$C$122,$B10)</f>
        <v/>
      </c>
    </row>
    <row r="11">
      <c r="A11" s="10" t="inlineStr">
        <is>
          <t>Diego Silva</t>
        </is>
      </c>
      <c r="B11" s="10" t="inlineStr">
        <is>
          <t>SPD-2749</t>
        </is>
      </c>
      <c r="C11" s="10" t="inlineStr">
        <is>
          <t>SPD-2749 VoP Data Hosting Ingester v1</t>
        </is>
      </c>
      <c r="D11" s="12">
        <f>SUMIFS(Detail!$G$4:$G$122,Detail!$A$4:$A$122,$A$2,Detail!$B$4:$B$122,$A11,Detail!$C$4:$C$122,$B11)</f>
        <v/>
      </c>
    </row>
    <row r="12">
      <c r="A12" s="10" t="inlineStr">
        <is>
          <t>Diego Silva</t>
        </is>
      </c>
      <c r="B12" s="10" t="inlineStr">
        <is>
          <t>SPD-2834</t>
        </is>
      </c>
      <c r="C12" s="10" t="inlineStr">
        <is>
          <t>SPD-2834 VoP Data Hosting Iteration 2</t>
        </is>
      </c>
      <c r="D12" s="12">
        <f>SUMIFS(Detail!$G$4:$G$122,Detail!$A$4:$A$122,$A$2,Detail!$B$4:$B$122,$A12,Detail!$C$4:$C$122,$B12)</f>
        <v/>
      </c>
    </row>
    <row r="13">
      <c r="A13" s="10" t="inlineStr">
        <is>
          <t>Keerthi Shankar</t>
        </is>
      </c>
      <c r="B13" s="10" t="inlineStr">
        <is>
          <t>SPD-2716</t>
        </is>
      </c>
      <c r="C13" s="10" t="inlineStr">
        <is>
          <t>SPD-2716 VoP Data Hosting Interation 1</t>
        </is>
      </c>
      <c r="D13" s="12">
        <f>SUMIFS(Detail!$G$4:$G$122,Detail!$A$4:$A$122,$A$2,Detail!$B$4:$B$122,$A13,Detail!$C$4:$C$122,$B13)</f>
        <v/>
      </c>
    </row>
    <row r="14">
      <c r="A14" s="10" t="inlineStr">
        <is>
          <t>Keerthi Shankar</t>
        </is>
      </c>
      <c r="B14" s="10" t="inlineStr">
        <is>
          <t>SPD-2724</t>
        </is>
      </c>
      <c r="C14" s="10" t="inlineStr">
        <is>
          <t>SPD-2724 VoP Bulk Checker Iteration 1</t>
        </is>
      </c>
      <c r="D14" s="12">
        <f>SUMIFS(Detail!$G$4:$G$122,Detail!$A$4:$A$122,$A$2,Detail!$B$4:$B$122,$A14,Detail!$C$4:$C$122,$B14)</f>
        <v/>
      </c>
    </row>
    <row r="15">
      <c r="A15" s="10" t="inlineStr">
        <is>
          <t>Keerthi Shankar</t>
        </is>
      </c>
      <c r="B15" s="10" t="inlineStr">
        <is>
          <t>SPD-2834</t>
        </is>
      </c>
      <c r="C15" s="10" t="inlineStr">
        <is>
          <t>SPD-2834 VoP Data Hosting Iteration 2</t>
        </is>
      </c>
      <c r="D15" s="12">
        <f>SUMIFS(Detail!$G$4:$G$122,Detail!$A$4:$A$122,$A$2,Detail!$B$4:$B$122,$A15,Detail!$C$4:$C$122,$B15)</f>
        <v/>
      </c>
    </row>
    <row r="16">
      <c r="A16" s="10" t="inlineStr">
        <is>
          <t>Keerthi Shankar</t>
        </is>
      </c>
      <c r="B16" s="10" t="inlineStr">
        <is>
          <t>SPD-3135</t>
        </is>
      </c>
      <c r="C16" s="10" t="inlineStr">
        <is>
          <t>SPD-3135 VoP Bulk Webhook</t>
        </is>
      </c>
      <c r="D16" s="12">
        <f>SUMIFS(Detail!$G$4:$G$122,Detail!$A$4:$A$122,$A$2,Detail!$B$4:$B$122,$A16,Detail!$C$4:$C$122,$B16)</f>
        <v/>
      </c>
    </row>
    <row r="17">
      <c r="A17" s="10" t="inlineStr">
        <is>
          <t>Manali Shah</t>
        </is>
      </c>
      <c r="B17" s="10" t="inlineStr">
        <is>
          <t>SPD-2716</t>
        </is>
      </c>
      <c r="C17" s="10" t="inlineStr">
        <is>
          <t>SPD-2716 VoP Data Hosting Interation 1</t>
        </is>
      </c>
      <c r="D17" s="12">
        <f>SUMIFS(Detail!$G$4:$G$122,Detail!$A$4:$A$122,$A$2,Detail!$B$4:$B$122,$A17,Detail!$C$4:$C$122,$B17)</f>
        <v/>
      </c>
    </row>
    <row r="18">
      <c r="A18" s="10" t="inlineStr">
        <is>
          <t>Manali Shah</t>
        </is>
      </c>
      <c r="B18" s="10" t="inlineStr">
        <is>
          <t>SPD-2723</t>
        </is>
      </c>
      <c r="C18" s="10" t="inlineStr">
        <is>
          <t>SPD-2723 VoP Algorithm for BE GoLive</t>
        </is>
      </c>
      <c r="D18" s="12">
        <f>SUMIFS(Detail!$G$4:$G$122,Detail!$A$4:$A$122,$A$2,Detail!$B$4:$B$122,$A18,Detail!$C$4:$C$122,$B18)</f>
        <v/>
      </c>
    </row>
    <row r="19">
      <c r="A19" s="10" t="inlineStr">
        <is>
          <t>Manali Shah</t>
        </is>
      </c>
      <c r="B19" s="10" t="inlineStr">
        <is>
          <t>SPD-2834</t>
        </is>
      </c>
      <c r="C19" s="10" t="inlineStr">
        <is>
          <t>SPD-2834 VoP Data Hosting Iteration 2</t>
        </is>
      </c>
      <c r="D19" s="12">
        <f>SUMIFS(Detail!$G$4:$G$122,Detail!$A$4:$A$122,$A$2,Detail!$B$4:$B$122,$A19,Detail!$C$4:$C$122,$B19)</f>
        <v/>
      </c>
    </row>
    <row r="20">
      <c r="A20" s="10" t="inlineStr">
        <is>
          <t>Manali Shah</t>
        </is>
      </c>
      <c r="B20" s="10" t="inlineStr">
        <is>
          <t>SPD-3094</t>
        </is>
      </c>
      <c r="C20" s="10" t="inlineStr">
        <is>
          <t>SPD-3094 VoP Algorithm IPR Ready</t>
        </is>
      </c>
      <c r="D20" s="12">
        <f>SUMIFS(Detail!$G$4:$G$122,Detail!$A$4:$A$122,$A$2,Detail!$B$4:$B$122,$A20,Detail!$C$4:$C$122,$B20)</f>
        <v/>
      </c>
    </row>
    <row r="21">
      <c r="A21" s="10" t="inlineStr">
        <is>
          <t>Sridhar Gnanasekaran</t>
        </is>
      </c>
      <c r="B21" s="10" t="inlineStr">
        <is>
          <t>SPD-2716</t>
        </is>
      </c>
      <c r="C21" s="10" t="inlineStr">
        <is>
          <t>SPD-2716 VoP Data Hosting Interation 1</t>
        </is>
      </c>
      <c r="D21" s="12">
        <f>SUMIFS(Detail!$G$4:$G$122,Detail!$A$4:$A$122,$A$2,Detail!$B$4:$B$122,$A21,Detail!$C$4:$C$122,$B21)</f>
        <v/>
      </c>
    </row>
    <row r="22">
      <c r="A22" s="10" t="inlineStr">
        <is>
          <t>Sridhar Gnanasekaran</t>
        </is>
      </c>
      <c r="B22" s="10" t="inlineStr">
        <is>
          <t>SPD-2724</t>
        </is>
      </c>
      <c r="C22" s="10" t="inlineStr">
        <is>
          <t>SPD-2724 VoP Bulk Checker Iteration 1</t>
        </is>
      </c>
      <c r="D22" s="12">
        <f>SUMIFS(Detail!$G$4:$G$122,Detail!$A$4:$A$122,$A$2,Detail!$B$4:$B$122,$A22,Detail!$C$4:$C$122,$B22)</f>
        <v/>
      </c>
    </row>
    <row r="23">
      <c r="A23" s="10" t="inlineStr">
        <is>
          <t>Sridhar Gnanasekaran</t>
        </is>
      </c>
      <c r="B23" s="10" t="inlineStr">
        <is>
          <t>SPD-2834</t>
        </is>
      </c>
      <c r="C23" s="10" t="inlineStr">
        <is>
          <t>SPD-2834 VoP Data Hosting Iteration 2</t>
        </is>
      </c>
      <c r="D23" s="12">
        <f>SUMIFS(Detail!$G$4:$G$122,Detail!$A$4:$A$122,$A$2,Detail!$B$4:$B$122,$A23,Detail!$C$4:$C$122,$B23)</f>
        <v/>
      </c>
    </row>
    <row r="24">
      <c r="A24" s="10" t="inlineStr">
        <is>
          <t>borys.rudenko</t>
        </is>
      </c>
      <c r="B24" s="10" t="inlineStr">
        <is>
          <t>SPD-2724</t>
        </is>
      </c>
      <c r="C24" s="10" t="inlineStr">
        <is>
          <t>SPD-2724 VoP Bulk Checker Iteration 1</t>
        </is>
      </c>
      <c r="D24" s="12">
        <f>SUMIFS(Detail!$G$4:$G$122,Detail!$A$4:$A$122,$A$2,Detail!$B$4:$B$122,$A24,Detail!$C$4:$C$122,$B24)</f>
        <v/>
      </c>
    </row>
    <row r="25">
      <c r="A25" s="10" t="inlineStr">
        <is>
          <t>Chaitanya Sagi</t>
        </is>
      </c>
      <c r="B25" s="10" t="inlineStr">
        <is>
          <t>SPD-2716</t>
        </is>
      </c>
      <c r="C25" s="10" t="inlineStr">
        <is>
          <t>SPD-2716 VoP Data Hosting Interation 1</t>
        </is>
      </c>
      <c r="D25" s="12">
        <f>SUMIFS(Detail!$G$4:$G$122,Detail!$A$4:$A$122,$A$2,Detail!$B$4:$B$122,$A25,Detail!$C$4:$C$122,$B25)</f>
        <v/>
      </c>
    </row>
    <row r="26">
      <c r="A26" s="17" t="n"/>
      <c r="B26" s="17" t="n"/>
      <c r="C26" s="18" t="inlineStr">
        <is>
          <t>TEAM TOTAL</t>
        </is>
      </c>
      <c r="D26" s="19">
        <f>SUM(D5:D25)</f>
        <v/>
      </c>
    </row>
    <row r="29">
      <c r="A29" s="6" t="inlineStr">
        <is>
          <t>Per engineer</t>
        </is>
      </c>
    </row>
    <row r="30">
      <c r="A30" s="9" t="inlineStr">
        <is>
          <t>Engineer</t>
        </is>
      </c>
      <c r="B30" s="9" t="inlineStr">
        <is>
          <t>WBSO hours</t>
        </is>
      </c>
      <c r="C30" s="9" t="inlineStr">
        <is>
          <t>Day equivalent</t>
        </is>
      </c>
      <c r="D30" s="9" t="inlineStr">
        <is>
          <t>Active days</t>
        </is>
      </c>
      <c r="E30" s="9" t="inlineStr">
        <is>
          <t>Capacity hours</t>
        </is>
      </c>
      <c r="F30" s="9" t="inlineStr">
        <is>
          <t>WBSO share</t>
        </is>
      </c>
      <c r="G30" s="9" t="inlineStr">
        <is>
          <t>Peak tickets/day</t>
        </is>
      </c>
    </row>
    <row r="31">
      <c r="A31" s="10" t="inlineStr">
        <is>
          <t>Gerard Veldman</t>
        </is>
      </c>
      <c r="B31" s="12">
        <f>SUMIFS(Detail!$G$4:$G$122,Detail!$A$4:$A$122,$A$2,Detail!$B$4:$B$122,$A31)</f>
        <v/>
      </c>
      <c r="C31" s="12">
        <f>IFERROR($B31/Assumptions!$B$5,0)</f>
        <v/>
      </c>
      <c r="D31" s="11" t="n">
        <v>22</v>
      </c>
      <c r="E31" s="12">
        <f>$D31*Assumptions!$B$5</f>
        <v/>
      </c>
      <c r="F31" s="13">
        <f>IFERROR($B31/$E31,0)</f>
        <v/>
      </c>
      <c r="G31" s="11" t="inlineStr">
        <is>
          <t>2 on 24 Jun</t>
        </is>
      </c>
    </row>
    <row r="32">
      <c r="A32" s="10" t="inlineStr">
        <is>
          <t>Juanma Tastzian</t>
        </is>
      </c>
      <c r="B32" s="12">
        <f>SUMIFS(Detail!$G$4:$G$122,Detail!$A$4:$A$122,$A$2,Detail!$B$4:$B$122,$A32)</f>
        <v/>
      </c>
      <c r="C32" s="12">
        <f>IFERROR($B32/Assumptions!$B$5,0)</f>
        <v/>
      </c>
      <c r="D32" s="11" t="n">
        <v>22</v>
      </c>
      <c r="E32" s="12">
        <f>$D32*Assumptions!$B$5</f>
        <v/>
      </c>
      <c r="F32" s="13">
        <f>IFERROR($B32/$E32,0)</f>
        <v/>
      </c>
      <c r="G32" s="11" t="inlineStr">
        <is>
          <t>3 on 23 Jun</t>
        </is>
      </c>
    </row>
    <row r="33">
      <c r="A33" s="10" t="inlineStr">
        <is>
          <t>Elisabeth Gie</t>
        </is>
      </c>
      <c r="B33" s="12">
        <f>SUMIFS(Detail!$G$4:$G$122,Detail!$A$4:$A$122,$A$2,Detail!$B$4:$B$122,$A33)</f>
        <v/>
      </c>
      <c r="C33" s="12">
        <f>IFERROR($B33/Assumptions!$B$5,0)</f>
        <v/>
      </c>
      <c r="D33" s="11" t="n">
        <v>21</v>
      </c>
      <c r="E33" s="12">
        <f>$D33*Assumptions!$B$5</f>
        <v/>
      </c>
      <c r="F33" s="13">
        <f>IFERROR($B33/$E33,0)</f>
        <v/>
      </c>
      <c r="G33" s="11" t="inlineStr">
        <is>
          <t>1 on 02 Jun</t>
        </is>
      </c>
    </row>
    <row r="34">
      <c r="A34" s="10" t="inlineStr">
        <is>
          <t>Diego Silva</t>
        </is>
      </c>
      <c r="B34" s="12">
        <f>SUMIFS(Detail!$G$4:$G$122,Detail!$A$4:$A$122,$A$2,Detail!$B$4:$B$122,$A34)</f>
        <v/>
      </c>
      <c r="C34" s="12">
        <f>IFERROR($B34/Assumptions!$B$5,0)</f>
        <v/>
      </c>
      <c r="D34" s="11" t="n">
        <v>21</v>
      </c>
      <c r="E34" s="12">
        <f>$D34*Assumptions!$B$5</f>
        <v/>
      </c>
      <c r="F34" s="13">
        <f>IFERROR($B34/$E34,0)</f>
        <v/>
      </c>
      <c r="G34" s="11" t="inlineStr">
        <is>
          <t>4 on 16 Jun</t>
        </is>
      </c>
    </row>
    <row r="35">
      <c r="A35" s="10" t="inlineStr">
        <is>
          <t>Keerthi Shankar</t>
        </is>
      </c>
      <c r="B35" s="12">
        <f>SUMIFS(Detail!$G$4:$G$122,Detail!$A$4:$A$122,$A$2,Detail!$B$4:$B$122,$A35)</f>
        <v/>
      </c>
      <c r="C35" s="12">
        <f>IFERROR($B35/Assumptions!$B$5,0)</f>
        <v/>
      </c>
      <c r="D35" s="11" t="n">
        <v>19</v>
      </c>
      <c r="E35" s="12">
        <f>$D35*Assumptions!$B$5</f>
        <v/>
      </c>
      <c r="F35" s="13">
        <f>IFERROR($B35/$E35,0)</f>
        <v/>
      </c>
      <c r="G35" s="11" t="inlineStr">
        <is>
          <t>2 on 27 Jun</t>
        </is>
      </c>
    </row>
    <row r="36">
      <c r="A36" s="10" t="inlineStr">
        <is>
          <t>Manali Shah</t>
        </is>
      </c>
      <c r="B36" s="12">
        <f>SUMIFS(Detail!$G$4:$G$122,Detail!$A$4:$A$122,$A$2,Detail!$B$4:$B$122,$A36)</f>
        <v/>
      </c>
      <c r="C36" s="12">
        <f>IFERROR($B36/Assumptions!$B$5,0)</f>
        <v/>
      </c>
      <c r="D36" s="11" t="n">
        <v>18</v>
      </c>
      <c r="E36" s="12">
        <f>$D36*Assumptions!$B$5</f>
        <v/>
      </c>
      <c r="F36" s="13">
        <f>IFERROR($B36/$E36,0)</f>
        <v/>
      </c>
      <c r="G36" s="11" t="inlineStr">
        <is>
          <t>4 on 24 Jun</t>
        </is>
      </c>
    </row>
    <row r="37">
      <c r="A37" s="10" t="inlineStr">
        <is>
          <t>Sridhar Gnanasekaran</t>
        </is>
      </c>
      <c r="B37" s="12">
        <f>SUMIFS(Detail!$G$4:$G$122,Detail!$A$4:$A$122,$A$2,Detail!$B$4:$B$122,$A37)</f>
        <v/>
      </c>
      <c r="C37" s="12">
        <f>IFERROR($B37/Assumptions!$B$5,0)</f>
        <v/>
      </c>
      <c r="D37" s="11" t="n">
        <v>19</v>
      </c>
      <c r="E37" s="12">
        <f>$D37*Assumptions!$B$5</f>
        <v/>
      </c>
      <c r="F37" s="13">
        <f>IFERROR($B37/$E37,0)</f>
        <v/>
      </c>
      <c r="G37" s="11" t="inlineStr">
        <is>
          <t>3 on 19 Jun</t>
        </is>
      </c>
    </row>
    <row r="38">
      <c r="A38" s="10" t="inlineStr">
        <is>
          <t>borys.rudenko</t>
        </is>
      </c>
      <c r="B38" s="12">
        <f>SUMIFS(Detail!$G$4:$G$122,Detail!$A$4:$A$122,$A$2,Detail!$B$4:$B$122,$A38)</f>
        <v/>
      </c>
      <c r="C38" s="12">
        <f>IFERROR($B38/Assumptions!$B$5,0)</f>
        <v/>
      </c>
      <c r="D38" s="11" t="n">
        <v>15</v>
      </c>
      <c r="E38" s="12">
        <f>$D38*Assumptions!$B$5</f>
        <v/>
      </c>
      <c r="F38" s="13">
        <f>IFERROR($B38/$E38,0)</f>
        <v/>
      </c>
      <c r="G38" s="11" t="inlineStr">
        <is>
          <t>1 on 02 Jun</t>
        </is>
      </c>
    </row>
    <row r="39">
      <c r="A39" s="10" t="inlineStr">
        <is>
          <t>Chaitanya Sagi</t>
        </is>
      </c>
      <c r="B39" s="12">
        <f>SUMIFS(Detail!$G$4:$G$122,Detail!$A$4:$A$122,$A$2,Detail!$B$4:$B$122,$A39)</f>
        <v/>
      </c>
      <c r="C39" s="12">
        <f>IFERROR($B39/Assumptions!$B$5,0)</f>
        <v/>
      </c>
      <c r="D39" s="11" t="n">
        <v>12</v>
      </c>
      <c r="E39" s="12">
        <f>$D39*Assumptions!$B$5</f>
        <v/>
      </c>
      <c r="F39" s="13">
        <f>IFERROR($B39/$E39,0)</f>
        <v/>
      </c>
      <c r="G39" s="11" t="inlineStr">
        <is>
          <t>2 on 05 Jun</t>
        </is>
      </c>
    </row>
    <row r="40">
      <c r="A40" s="3" t="inlineStr">
        <is>
          <t>TOTAL</t>
        </is>
      </c>
      <c r="B40" s="15">
        <f>SUM(B31:B39)</f>
        <v/>
      </c>
      <c r="C40" s="15">
        <f>SUM(C31:C39)</f>
        <v/>
      </c>
      <c r="D40" s="15">
        <f>SUM(D31:D39)</f>
        <v/>
      </c>
      <c r="E40" s="15">
        <f>SUM(E31:E39)</f>
        <v/>
      </c>
      <c r="F40" s="16">
        <f>IFERROR($B40/$E40,0)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Samba — WBSO hours, 2025-06</t>
        </is>
      </c>
    </row>
    <row r="2">
      <c r="A2" s="5" t="inlineStr">
        <is>
          <t>Team Samba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Ioannis Argyroulis</t>
        </is>
      </c>
      <c r="B5" s="10" t="inlineStr">
        <is>
          <t>SDO-7209</t>
        </is>
      </c>
      <c r="C5" s="10" t="inlineStr">
        <is>
          <t xml:space="preserve">SDO-7209 VoP Data Provisioning </t>
        </is>
      </c>
      <c r="D5" s="12">
        <f>SUMIFS(Detail!$G$4:$G$122,Detail!$A$4:$A$122,$A$2,Detail!$B$4:$B$122,$A5,Detail!$C$4:$C$122,$B5)</f>
        <v/>
      </c>
    </row>
    <row r="6">
      <c r="A6" s="10" t="inlineStr">
        <is>
          <t>Ioannis Argyroulis</t>
        </is>
      </c>
      <c r="B6" s="10" t="inlineStr">
        <is>
          <t>SDO-7438</t>
        </is>
      </c>
      <c r="C6" s="10" t="inlineStr">
        <is>
          <t>SDO-7438 VOP Gateway - Enhancements</t>
        </is>
      </c>
      <c r="D6" s="12">
        <f>SUMIFS(Detail!$G$4:$G$122,Detail!$A$4:$A$122,$A$2,Detail!$B$4:$B$122,$A6,Detail!$C$4:$C$122,$B6)</f>
        <v/>
      </c>
    </row>
    <row r="7">
      <c r="A7" s="10" t="inlineStr">
        <is>
          <t>Sandhya Pai</t>
        </is>
      </c>
      <c r="B7" s="10" t="inlineStr">
        <is>
          <t>SDO-7438</t>
        </is>
      </c>
      <c r="C7" s="10" t="inlineStr">
        <is>
          <t>SDO-7438 VOP Gateway - Enhancements</t>
        </is>
      </c>
      <c r="D7" s="12">
        <f>SUMIFS(Detail!$G$4:$G$122,Detail!$A$4:$A$122,$A$2,Detail!$B$4:$B$122,$A7,Detail!$C$4:$C$122,$B7)</f>
        <v/>
      </c>
    </row>
    <row r="8">
      <c r="A8" s="10" t="inlineStr">
        <is>
          <t>Sheik Farzand Razi</t>
        </is>
      </c>
      <c r="B8" s="10" t="inlineStr">
        <is>
          <t>SDO-5021</t>
        </is>
      </c>
      <c r="C8" s="10" t="inlineStr">
        <is>
          <t xml:space="preserve">SDO-5021 Service Improvements </t>
        </is>
      </c>
      <c r="D8" s="12">
        <f>SUMIFS(Detail!$G$4:$G$122,Detail!$A$4:$A$122,$A$2,Detail!$B$4:$B$122,$A8,Detail!$C$4:$C$122,$B8)</f>
        <v/>
      </c>
    </row>
    <row r="9">
      <c r="A9" s="10" t="inlineStr">
        <is>
          <t>Sheik Farzand Razi</t>
        </is>
      </c>
      <c r="B9" s="10" t="inlineStr">
        <is>
          <t>SDO-7438</t>
        </is>
      </c>
      <c r="C9" s="10" t="inlineStr">
        <is>
          <t>SDO-7438 VOP Gateway - Enhancements</t>
        </is>
      </c>
      <c r="D9" s="12">
        <f>SUMIFS(Detail!$G$4:$G$122,Detail!$A$4:$A$122,$A$2,Detail!$B$4:$B$122,$A9,Detail!$C$4:$C$122,$B9)</f>
        <v/>
      </c>
    </row>
    <row r="10">
      <c r="A10" s="10" t="inlineStr">
        <is>
          <t>Orwa Badran</t>
        </is>
      </c>
      <c r="B10" s="10" t="inlineStr">
        <is>
          <t>SDO-7438</t>
        </is>
      </c>
      <c r="C10" s="10" t="inlineStr">
        <is>
          <t>SDO-7438 VOP Gateway - Enhancements</t>
        </is>
      </c>
      <c r="D10" s="12">
        <f>SUMIFS(Detail!$G$4:$G$122,Detail!$A$4:$A$122,$A$2,Detail!$B$4:$B$122,$A10,Detail!$C$4:$C$122,$B10)</f>
        <v/>
      </c>
    </row>
    <row r="11">
      <c r="A11" s="10" t="inlineStr">
        <is>
          <t>Orwa Badran</t>
        </is>
      </c>
      <c r="B11" s="10" t="inlineStr">
        <is>
          <t>SDO-7526</t>
        </is>
      </c>
      <c r="C11" s="10" t="inlineStr">
        <is>
          <t>SDO-7526 VOP Algorithm Improvements</t>
        </is>
      </c>
      <c r="D11" s="12">
        <f>SUMIFS(Detail!$G$4:$G$122,Detail!$A$4:$A$122,$A$2,Detail!$B$4:$B$122,$A11,Detail!$C$4:$C$122,$B11)</f>
        <v/>
      </c>
    </row>
    <row r="12">
      <c r="A12" s="10" t="inlineStr">
        <is>
          <t>Muhammad Sulaiman</t>
        </is>
      </c>
      <c r="B12" s="10" t="inlineStr">
        <is>
          <t>SDO-5021</t>
        </is>
      </c>
      <c r="C12" s="10" t="inlineStr">
        <is>
          <t xml:space="preserve">SDO-5021 Service Improvements </t>
        </is>
      </c>
      <c r="D12" s="12">
        <f>SUMIFS(Detail!$G$4:$G$122,Detail!$A$4:$A$122,$A$2,Detail!$B$4:$B$122,$A12,Detail!$C$4:$C$122,$B12)</f>
        <v/>
      </c>
    </row>
    <row r="13">
      <c r="A13" s="10" t="inlineStr">
        <is>
          <t>Muhammad Sulaiman</t>
        </is>
      </c>
      <c r="B13" s="10" t="inlineStr">
        <is>
          <t>SDO-7438</t>
        </is>
      </c>
      <c r="C13" s="10" t="inlineStr">
        <is>
          <t>SDO-7438 VOP Gateway - Enhancements</t>
        </is>
      </c>
      <c r="D13" s="12">
        <f>SUMIFS(Detail!$G$4:$G$122,Detail!$A$4:$A$122,$A$2,Detail!$B$4:$B$122,$A13,Detail!$C$4:$C$122,$B13)</f>
        <v/>
      </c>
    </row>
    <row r="14">
      <c r="A14" s="10" t="inlineStr">
        <is>
          <t>Ismail Kuyu</t>
        </is>
      </c>
      <c r="B14" s="10" t="inlineStr">
        <is>
          <t>SDO-6876</t>
        </is>
      </c>
      <c r="C14" s="10" t="inlineStr">
        <is>
          <t>SDO-6876 VoP Gateway solution</t>
        </is>
      </c>
      <c r="D14" s="12">
        <f>SUMIFS(Detail!$G$4:$G$122,Detail!$A$4:$A$122,$A$2,Detail!$B$4:$B$122,$A14,Detail!$C$4:$C$122,$B14)</f>
        <v/>
      </c>
    </row>
    <row r="15">
      <c r="A15" s="10" t="inlineStr">
        <is>
          <t>Ismail Kuyu</t>
        </is>
      </c>
      <c r="B15" s="10" t="inlineStr">
        <is>
          <t>SDO-7438</t>
        </is>
      </c>
      <c r="C15" s="10" t="inlineStr">
        <is>
          <t>SDO-7438 VOP Gateway - Enhancements</t>
        </is>
      </c>
      <c r="D15" s="12">
        <f>SUMIFS(Detail!$G$4:$G$122,Detail!$A$4:$A$122,$A$2,Detail!$B$4:$B$122,$A15,Detail!$C$4:$C$122,$B15)</f>
        <v/>
      </c>
    </row>
    <row r="16">
      <c r="A16" s="17" t="n"/>
      <c r="B16" s="17" t="n"/>
      <c r="C16" s="18" t="inlineStr">
        <is>
          <t>TEAM TOTAL</t>
        </is>
      </c>
      <c r="D16" s="19">
        <f>SUM(D5:D15)</f>
        <v/>
      </c>
    </row>
    <row r="19">
      <c r="A19" s="6" t="inlineStr">
        <is>
          <t>Per engineer</t>
        </is>
      </c>
    </row>
    <row r="20">
      <c r="A20" s="9" t="inlineStr">
        <is>
          <t>Engineer</t>
        </is>
      </c>
      <c r="B20" s="9" t="inlineStr">
        <is>
          <t>WBSO hours</t>
        </is>
      </c>
      <c r="C20" s="9" t="inlineStr">
        <is>
          <t>Day equivalent</t>
        </is>
      </c>
      <c r="D20" s="9" t="inlineStr">
        <is>
          <t>Active days</t>
        </is>
      </c>
      <c r="E20" s="9" t="inlineStr">
        <is>
          <t>Capacity hours</t>
        </is>
      </c>
      <c r="F20" s="9" t="inlineStr">
        <is>
          <t>WBSO share</t>
        </is>
      </c>
      <c r="G20" s="9" t="inlineStr">
        <is>
          <t>Peak tickets/day</t>
        </is>
      </c>
    </row>
    <row r="21">
      <c r="A21" s="10" t="inlineStr">
        <is>
          <t>Ioannis Argyroulis</t>
        </is>
      </c>
      <c r="B21" s="12">
        <f>SUMIFS(Detail!$G$4:$G$122,Detail!$A$4:$A$122,$A$2,Detail!$B$4:$B$122,$A21)</f>
        <v/>
      </c>
      <c r="C21" s="12">
        <f>IFERROR($B21/Assumptions!$B$5,0)</f>
        <v/>
      </c>
      <c r="D21" s="11" t="n">
        <v>22</v>
      </c>
      <c r="E21" s="12">
        <f>$D21*Assumptions!$B$5</f>
        <v/>
      </c>
      <c r="F21" s="13">
        <f>IFERROR($B21/$E21,0)</f>
        <v/>
      </c>
      <c r="G21" s="11" t="inlineStr">
        <is>
          <t>5 on 04 Jun</t>
        </is>
      </c>
    </row>
    <row r="22">
      <c r="A22" s="10" t="inlineStr">
        <is>
          <t>Sandhya Pai</t>
        </is>
      </c>
      <c r="B22" s="12">
        <f>SUMIFS(Detail!$G$4:$G$122,Detail!$A$4:$A$122,$A$2,Detail!$B$4:$B$122,$A22)</f>
        <v/>
      </c>
      <c r="C22" s="12">
        <f>IFERROR($B22/Assumptions!$B$5,0)</f>
        <v/>
      </c>
      <c r="D22" s="11" t="n">
        <v>18</v>
      </c>
      <c r="E22" s="12">
        <f>$D22*Assumptions!$B$5</f>
        <v/>
      </c>
      <c r="F22" s="13">
        <f>IFERROR($B22/$E22,0)</f>
        <v/>
      </c>
      <c r="G22" s="11" t="inlineStr">
        <is>
          <t>3 on 02 Jun</t>
        </is>
      </c>
    </row>
    <row r="23">
      <c r="A23" s="10" t="inlineStr">
        <is>
          <t>Sheik Farzand Razi</t>
        </is>
      </c>
      <c r="B23" s="12">
        <f>SUMIFS(Detail!$G$4:$G$122,Detail!$A$4:$A$122,$A$2,Detail!$B$4:$B$122,$A23)</f>
        <v/>
      </c>
      <c r="C23" s="12">
        <f>IFERROR($B23/Assumptions!$B$5,0)</f>
        <v/>
      </c>
      <c r="D23" s="11" t="n">
        <v>22</v>
      </c>
      <c r="E23" s="12">
        <f>$D23*Assumptions!$B$5</f>
        <v/>
      </c>
      <c r="F23" s="13">
        <f>IFERROR($B23/$E23,0)</f>
        <v/>
      </c>
      <c r="G23" s="11" t="inlineStr">
        <is>
          <t>10 on 25 Jun</t>
        </is>
      </c>
    </row>
    <row r="24">
      <c r="A24" s="10" t="inlineStr">
        <is>
          <t>Orwa Badran</t>
        </is>
      </c>
      <c r="B24" s="12">
        <f>SUMIFS(Detail!$G$4:$G$122,Detail!$A$4:$A$122,$A$2,Detail!$B$4:$B$122,$A24)</f>
        <v/>
      </c>
      <c r="C24" s="12">
        <f>IFERROR($B24/Assumptions!$B$5,0)</f>
        <v/>
      </c>
      <c r="D24" s="11" t="n">
        <v>22</v>
      </c>
      <c r="E24" s="12">
        <f>$D24*Assumptions!$B$5</f>
        <v/>
      </c>
      <c r="F24" s="13">
        <f>IFERROR($B24/$E24,0)</f>
        <v/>
      </c>
      <c r="G24" s="11" t="inlineStr">
        <is>
          <t>5 on 03 Jun</t>
        </is>
      </c>
    </row>
    <row r="25">
      <c r="A25" s="10" t="inlineStr">
        <is>
          <t>Muhammad Sulaiman</t>
        </is>
      </c>
      <c r="B25" s="12">
        <f>SUMIFS(Detail!$G$4:$G$122,Detail!$A$4:$A$122,$A$2,Detail!$B$4:$B$122,$A25)</f>
        <v/>
      </c>
      <c r="C25" s="12">
        <f>IFERROR($B25/Assumptions!$B$5,0)</f>
        <v/>
      </c>
      <c r="D25" s="11" t="n">
        <v>22</v>
      </c>
      <c r="E25" s="12">
        <f>$D25*Assumptions!$B$5</f>
        <v/>
      </c>
      <c r="F25" s="13">
        <f>IFERROR($B25/$E25,0)</f>
        <v/>
      </c>
      <c r="G25" s="11" t="inlineStr">
        <is>
          <t>7 on 13 Jun</t>
        </is>
      </c>
    </row>
    <row r="26">
      <c r="A26" s="10" t="inlineStr">
        <is>
          <t>Ismail Kuyu</t>
        </is>
      </c>
      <c r="B26" s="12">
        <f>SUMIFS(Detail!$G$4:$G$122,Detail!$A$4:$A$122,$A$2,Detail!$B$4:$B$122,$A26)</f>
        <v/>
      </c>
      <c r="C26" s="12">
        <f>IFERROR($B26/Assumptions!$B$5,0)</f>
        <v/>
      </c>
      <c r="D26" s="11" t="n">
        <v>22</v>
      </c>
      <c r="E26" s="12">
        <f>$D26*Assumptions!$B$5</f>
        <v/>
      </c>
      <c r="F26" s="13">
        <f>IFERROR($B26/$E26,0)</f>
        <v/>
      </c>
      <c r="G26" s="11" t="inlineStr">
        <is>
          <t>8 on 23 Jun</t>
        </is>
      </c>
    </row>
    <row r="27">
      <c r="A27" s="3" t="inlineStr">
        <is>
          <t>TOTAL</t>
        </is>
      </c>
      <c r="B27" s="15">
        <f>SUM(B21:B26)</f>
        <v/>
      </c>
      <c r="C27" s="15">
        <f>SUM(C21:C26)</f>
        <v/>
      </c>
      <c r="D27" s="15">
        <f>SUM(D21:D26)</f>
        <v/>
      </c>
      <c r="E27" s="15">
        <f>SUM(E21:E26)</f>
        <v/>
      </c>
      <c r="F27" s="16">
        <f>IFERROR($B27/$E27,0)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YODA — WBSO hours, 2025-06</t>
        </is>
      </c>
    </row>
    <row r="2">
      <c r="A2" s="5" t="inlineStr">
        <is>
          <t>YODA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Mark Moorcroft</t>
        </is>
      </c>
      <c r="B5" s="10" t="inlineStr">
        <is>
          <t>YODA-1430</t>
        </is>
      </c>
      <c r="C5" s="10" t="inlineStr">
        <is>
          <t>YODA-1430 [Audit] Roll out</t>
        </is>
      </c>
      <c r="D5" s="12">
        <f>SUMIFS(Detail!$G$4:$G$122,Detail!$A$4:$A$122,$A$2,Detail!$B$4:$B$122,$A5,Detail!$C$4:$C$122,$B5)</f>
        <v/>
      </c>
    </row>
    <row r="6">
      <c r="A6" s="10" t="inlineStr">
        <is>
          <t>Richard Oliver</t>
        </is>
      </c>
      <c r="B6" s="10" t="inlineStr">
        <is>
          <t>YODA-1429</t>
        </is>
      </c>
      <c r="C6" s="10" t="inlineStr">
        <is>
          <t>YODA-1429 [Audit] Backup strategy</t>
        </is>
      </c>
      <c r="D6" s="12">
        <f>SUMIFS(Detail!$G$4:$G$122,Detail!$A$4:$A$122,$A$2,Detail!$B$4:$B$122,$A6,Detail!$C$4:$C$122,$B6)</f>
        <v/>
      </c>
    </row>
    <row r="7">
      <c r="A7" s="10" t="inlineStr">
        <is>
          <t>Richard Oliver</t>
        </is>
      </c>
      <c r="B7" s="10" t="inlineStr">
        <is>
          <t>YODA-1430</t>
        </is>
      </c>
      <c r="C7" s="10" t="inlineStr">
        <is>
          <t>YODA-1430 [Audit] Roll out</t>
        </is>
      </c>
      <c r="D7" s="12">
        <f>SUMIFS(Detail!$G$4:$G$122,Detail!$A$4:$A$122,$A$2,Detail!$B$4:$B$122,$A7,Detail!$C$4:$C$122,$B7)</f>
        <v/>
      </c>
    </row>
    <row r="8">
      <c r="A8" s="10" t="inlineStr">
        <is>
          <t>Parth Mewada</t>
        </is>
      </c>
      <c r="B8" s="10" t="inlineStr">
        <is>
          <t>YODA-1430</t>
        </is>
      </c>
      <c r="C8" s="10" t="inlineStr">
        <is>
          <t>YODA-1430 [Audit] Roll out</t>
        </is>
      </c>
      <c r="D8" s="12">
        <f>SUMIFS(Detail!$G$4:$G$122,Detail!$A$4:$A$122,$A$2,Detail!$B$4:$B$122,$A8,Detail!$C$4:$C$122,$B8)</f>
        <v/>
      </c>
    </row>
    <row r="9">
      <c r="A9" s="10" t="inlineStr">
        <is>
          <t>Ramseshu Ghanta</t>
        </is>
      </c>
      <c r="B9" s="10" t="inlineStr">
        <is>
          <t>YODA-1430</t>
        </is>
      </c>
      <c r="C9" s="10" t="inlineStr">
        <is>
          <t>YODA-1430 [Audit] Roll out</t>
        </is>
      </c>
      <c r="D9" s="12">
        <f>SUMIFS(Detail!$G$4:$G$122,Detail!$A$4:$A$122,$A$2,Detail!$B$4:$B$122,$A9,Detail!$C$4:$C$122,$B9)</f>
        <v/>
      </c>
    </row>
    <row r="10">
      <c r="A10" s="10" t="inlineStr">
        <is>
          <t>Maarten Knippers</t>
        </is>
      </c>
      <c r="B10" s="10" t="inlineStr">
        <is>
          <t>YODA-1430</t>
        </is>
      </c>
      <c r="C10" s="10" t="inlineStr">
        <is>
          <t>YODA-1430 [Audit] Roll out</t>
        </is>
      </c>
      <c r="D10" s="12">
        <f>SUMIFS(Detail!$G$4:$G$122,Detail!$A$4:$A$122,$A$2,Detail!$B$4:$B$122,$A10,Detail!$C$4:$C$122,$B10)</f>
        <v/>
      </c>
    </row>
    <row r="11">
      <c r="A11" s="10" t="inlineStr">
        <is>
          <t>Julian Mulder</t>
        </is>
      </c>
      <c r="B11" s="10" t="inlineStr">
        <is>
          <t>YODA-1429</t>
        </is>
      </c>
      <c r="C11" s="10" t="inlineStr">
        <is>
          <t>YODA-1429 [Audit] Backup strategy</t>
        </is>
      </c>
      <c r="D11" s="12">
        <f>SUMIFS(Detail!$G$4:$G$122,Detail!$A$4:$A$122,$A$2,Detail!$B$4:$B$122,$A11,Detail!$C$4:$C$122,$B11)</f>
        <v/>
      </c>
    </row>
    <row r="12">
      <c r="A12" s="10" t="inlineStr">
        <is>
          <t>Elton Qevani</t>
        </is>
      </c>
      <c r="B12" s="10" t="inlineStr">
        <is>
          <t>YODA-1430</t>
        </is>
      </c>
      <c r="C12" s="10" t="inlineStr">
        <is>
          <t>YODA-1430 [Audit] Roll out</t>
        </is>
      </c>
      <c r="D12" s="12">
        <f>SUMIFS(Detail!$G$4:$G$122,Detail!$A$4:$A$122,$A$2,Detail!$B$4:$B$122,$A12,Detail!$C$4:$C$122,$B12)</f>
        <v/>
      </c>
    </row>
    <row r="13">
      <c r="A13" s="10" t="inlineStr">
        <is>
          <t>Iakovos Belonias</t>
        </is>
      </c>
      <c r="B13" s="10" t="inlineStr">
        <is>
          <t>YODA-1430</t>
        </is>
      </c>
      <c r="C13" s="10" t="inlineStr">
        <is>
          <t>YODA-1430 [Audit] Roll out</t>
        </is>
      </c>
      <c r="D13" s="12">
        <f>SUMIFS(Detail!$G$4:$G$122,Detail!$A$4:$A$122,$A$2,Detail!$B$4:$B$122,$A13,Detail!$C$4:$C$122,$B13)</f>
        <v/>
      </c>
    </row>
    <row r="14">
      <c r="A14" s="17" t="n"/>
      <c r="B14" s="17" t="n"/>
      <c r="C14" s="18" t="inlineStr">
        <is>
          <t>TEAM TOTAL</t>
        </is>
      </c>
      <c r="D14" s="19">
        <f>SUM(D5:D13)</f>
        <v/>
      </c>
    </row>
    <row r="17">
      <c r="A17" s="6" t="inlineStr">
        <is>
          <t>Per engineer</t>
        </is>
      </c>
    </row>
    <row r="18">
      <c r="A18" s="9" t="inlineStr">
        <is>
          <t>Engineer</t>
        </is>
      </c>
      <c r="B18" s="9" t="inlineStr">
        <is>
          <t>WBSO hours</t>
        </is>
      </c>
      <c r="C18" s="9" t="inlineStr">
        <is>
          <t>Day equivalent</t>
        </is>
      </c>
      <c r="D18" s="9" t="inlineStr">
        <is>
          <t>Active days</t>
        </is>
      </c>
      <c r="E18" s="9" t="inlineStr">
        <is>
          <t>Capacity hours</t>
        </is>
      </c>
      <c r="F18" s="9" t="inlineStr">
        <is>
          <t>WBSO share</t>
        </is>
      </c>
      <c r="G18" s="9" t="inlineStr">
        <is>
          <t>Peak tickets/day</t>
        </is>
      </c>
    </row>
    <row r="19">
      <c r="A19" s="10" t="inlineStr">
        <is>
          <t>Mark Moorcroft</t>
        </is>
      </c>
      <c r="B19" s="12">
        <f>SUMIFS(Detail!$G$4:$G$122,Detail!$A$4:$A$122,$A$2,Detail!$B$4:$B$122,$A19)</f>
        <v/>
      </c>
      <c r="C19" s="12">
        <f>IFERROR($B19/Assumptions!$B$5,0)</f>
        <v/>
      </c>
      <c r="D19" s="11" t="n">
        <v>22</v>
      </c>
      <c r="E19" s="12">
        <f>$D19*Assumptions!$B$5</f>
        <v/>
      </c>
      <c r="F19" s="13">
        <f>IFERROR($B19/$E19,0)</f>
        <v/>
      </c>
      <c r="G19" s="11" t="inlineStr">
        <is>
          <t>6 on 18 Jun</t>
        </is>
      </c>
    </row>
    <row r="20">
      <c r="A20" s="10" t="inlineStr">
        <is>
          <t>Richard Oliver</t>
        </is>
      </c>
      <c r="B20" s="12">
        <f>SUMIFS(Detail!$G$4:$G$122,Detail!$A$4:$A$122,$A$2,Detail!$B$4:$B$122,$A20)</f>
        <v/>
      </c>
      <c r="C20" s="12">
        <f>IFERROR($B20/Assumptions!$B$5,0)</f>
        <v/>
      </c>
      <c r="D20" s="11" t="n">
        <v>22</v>
      </c>
      <c r="E20" s="12">
        <f>$D20*Assumptions!$B$5</f>
        <v/>
      </c>
      <c r="F20" s="13">
        <f>IFERROR($B20/$E20,0)</f>
        <v/>
      </c>
      <c r="G20" s="11" t="inlineStr">
        <is>
          <t>5 on 17 Jun</t>
        </is>
      </c>
    </row>
    <row r="21">
      <c r="A21" s="10" t="inlineStr">
        <is>
          <t>Parth Mewada</t>
        </is>
      </c>
      <c r="B21" s="12">
        <f>SUMIFS(Detail!$G$4:$G$122,Detail!$A$4:$A$122,$A$2,Detail!$B$4:$B$122,$A21)</f>
        <v/>
      </c>
      <c r="C21" s="12">
        <f>IFERROR($B21/Assumptions!$B$5,0)</f>
        <v/>
      </c>
      <c r="D21" s="11" t="n">
        <v>22</v>
      </c>
      <c r="E21" s="12">
        <f>$D21*Assumptions!$B$5</f>
        <v/>
      </c>
      <c r="F21" s="13">
        <f>IFERROR($B21/$E21,0)</f>
        <v/>
      </c>
      <c r="G21" s="11" t="inlineStr">
        <is>
          <t>5 on 16 Jun</t>
        </is>
      </c>
    </row>
    <row r="22">
      <c r="A22" s="10" t="inlineStr">
        <is>
          <t>Ramseshu Ghanta</t>
        </is>
      </c>
      <c r="B22" s="12">
        <f>SUMIFS(Detail!$G$4:$G$122,Detail!$A$4:$A$122,$A$2,Detail!$B$4:$B$122,$A22)</f>
        <v/>
      </c>
      <c r="C22" s="12">
        <f>IFERROR($B22/Assumptions!$B$5,0)</f>
        <v/>
      </c>
      <c r="D22" s="11" t="n">
        <v>15</v>
      </c>
      <c r="E22" s="12">
        <f>$D22*Assumptions!$B$5</f>
        <v/>
      </c>
      <c r="F22" s="13">
        <f>IFERROR($B22/$E22,0)</f>
        <v/>
      </c>
      <c r="G22" s="11" t="inlineStr">
        <is>
          <t>2 on 25 Jun</t>
        </is>
      </c>
    </row>
    <row r="23">
      <c r="A23" s="10" t="inlineStr">
        <is>
          <t>Maarten Knippers</t>
        </is>
      </c>
      <c r="B23" s="12">
        <f>SUMIFS(Detail!$G$4:$G$122,Detail!$A$4:$A$122,$A$2,Detail!$B$4:$B$122,$A23)</f>
        <v/>
      </c>
      <c r="C23" s="12">
        <f>IFERROR($B23/Assumptions!$B$5,0)</f>
        <v/>
      </c>
      <c r="D23" s="11" t="n">
        <v>9</v>
      </c>
      <c r="E23" s="12">
        <f>$D23*Assumptions!$B$5</f>
        <v/>
      </c>
      <c r="F23" s="13">
        <f>IFERROR($B23/$E23,0)</f>
        <v/>
      </c>
      <c r="G23" s="11" t="inlineStr">
        <is>
          <t>2 on 16 Jun</t>
        </is>
      </c>
    </row>
    <row r="24">
      <c r="A24" s="10" t="inlineStr">
        <is>
          <t>Julian Mulder</t>
        </is>
      </c>
      <c r="B24" s="12">
        <f>SUMIFS(Detail!$G$4:$G$122,Detail!$A$4:$A$122,$A$2,Detail!$B$4:$B$122,$A24)</f>
        <v/>
      </c>
      <c r="C24" s="12">
        <f>IFERROR($B24/Assumptions!$B$5,0)</f>
        <v/>
      </c>
      <c r="D24" s="11" t="n">
        <v>8</v>
      </c>
      <c r="E24" s="12">
        <f>$D24*Assumptions!$B$5</f>
        <v/>
      </c>
      <c r="F24" s="13">
        <f>IFERROR($B24/$E24,0)</f>
        <v/>
      </c>
      <c r="G24" s="11" t="inlineStr">
        <is>
          <t>1 on 20 Jun</t>
        </is>
      </c>
    </row>
    <row r="25">
      <c r="A25" s="10" t="inlineStr">
        <is>
          <t>Elton Qevani</t>
        </is>
      </c>
      <c r="B25" s="12">
        <f>SUMIFS(Detail!$G$4:$G$122,Detail!$A$4:$A$122,$A$2,Detail!$B$4:$B$122,$A25)</f>
        <v/>
      </c>
      <c r="C25" s="12">
        <f>IFERROR($B25/Assumptions!$B$5,0)</f>
        <v/>
      </c>
      <c r="D25" s="11" t="n">
        <v>1</v>
      </c>
      <c r="E25" s="12">
        <f>$D25*Assumptions!$B$5</f>
        <v/>
      </c>
      <c r="F25" s="13">
        <f>IFERROR($B25/$E25,0)</f>
        <v/>
      </c>
      <c r="G25" s="11" t="inlineStr">
        <is>
          <t>1 on 17 Jun</t>
        </is>
      </c>
    </row>
    <row r="26">
      <c r="A26" s="10" t="inlineStr">
        <is>
          <t>Iakovos Belonias</t>
        </is>
      </c>
      <c r="B26" s="12">
        <f>SUMIFS(Detail!$G$4:$G$122,Detail!$A$4:$A$122,$A$2,Detail!$B$4:$B$122,$A26)</f>
        <v/>
      </c>
      <c r="C26" s="12">
        <f>IFERROR($B26/Assumptions!$B$5,0)</f>
        <v/>
      </c>
      <c r="D26" s="11" t="n">
        <v>1</v>
      </c>
      <c r="E26" s="12">
        <f>$D26*Assumptions!$B$5</f>
        <v/>
      </c>
      <c r="F26" s="13">
        <f>IFERROR($B26/$E26,0)</f>
        <v/>
      </c>
      <c r="G26" s="11" t="inlineStr">
        <is>
          <t>1 on 25 Jun</t>
        </is>
      </c>
    </row>
    <row r="27">
      <c r="A27" s="3" t="inlineStr">
        <is>
          <t>TOTAL</t>
        </is>
      </c>
      <c r="B27" s="15">
        <f>SUM(B19:B26)</f>
        <v/>
      </c>
      <c r="C27" s="15">
        <f>SUM(C19:C26)</f>
        <v/>
      </c>
      <c r="D27" s="15">
        <f>SUM(D19:D26)</f>
        <v/>
      </c>
      <c r="E27" s="15">
        <f>SUM(E19:E26)</f>
        <v/>
      </c>
      <c r="F27" s="16">
        <f>IFERROR($B27/$E27,0)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4" customWidth="1" min="4" max="4"/>
    <col width="14" customWidth="1" min="5" max="5"/>
    <col width="46" customWidth="1" min="6" max="6"/>
    <col width="10" customWidth="1" min="7" max="7"/>
  </cols>
  <sheetData>
    <row r="1">
      <c r="A1" s="1" t="inlineStr">
        <is>
          <t>Per-ticket WBSO hours across every team (input data from Jira)</t>
        </is>
      </c>
    </row>
    <row r="3">
      <c r="A3" s="9" t="inlineStr">
        <is>
          <t>Team</t>
        </is>
      </c>
      <c r="B3" s="9" t="inlineStr">
        <is>
          <t>Engineer</t>
        </is>
      </c>
      <c r="C3" s="9" t="inlineStr">
        <is>
          <t>Epic key</t>
        </is>
      </c>
      <c r="D3" s="9" t="inlineStr">
        <is>
          <t>Epic</t>
        </is>
      </c>
      <c r="E3" s="9" t="inlineStr">
        <is>
          <t>Ticket</t>
        </is>
      </c>
      <c r="F3" s="9" t="inlineStr">
        <is>
          <t>Ticket summary</t>
        </is>
      </c>
      <c r="G3" s="9" t="inlineStr">
        <is>
          <t>Hours</t>
        </is>
      </c>
    </row>
    <row r="4">
      <c r="A4" s="10" t="inlineStr">
        <is>
          <t>Pastel de Portal Team</t>
        </is>
      </c>
      <c r="B4" s="10" t="inlineStr">
        <is>
          <t>gustavo.palminha</t>
        </is>
      </c>
      <c r="C4" s="10" t="inlineStr">
        <is>
          <t>PT-22</t>
        </is>
      </c>
      <c r="D4" s="10" t="inlineStr">
        <is>
          <t>PT-22 VOP Single Check</t>
        </is>
      </c>
      <c r="E4" s="10" t="inlineStr">
        <is>
          <t>PT-173</t>
        </is>
      </c>
      <c r="F4" s="10" t="inlineStr">
        <is>
          <t>Connect VoP Single Check to VoP Gateway API</t>
        </is>
      </c>
      <c r="G4" s="20" t="n">
        <v>35.4667</v>
      </c>
    </row>
    <row r="5">
      <c r="A5" s="10" t="inlineStr">
        <is>
          <t>Pastel de Portal Team</t>
        </is>
      </c>
      <c r="B5" s="10" t="inlineStr">
        <is>
          <t>gustavo.palminha</t>
        </is>
      </c>
      <c r="C5" s="10" t="inlineStr">
        <is>
          <t>PT-22</t>
        </is>
      </c>
      <c r="D5" s="10" t="inlineStr">
        <is>
          <t>PT-22 VOP Single Check</t>
        </is>
      </c>
      <c r="E5" s="10" t="inlineStr">
        <is>
          <t>PT-174</t>
        </is>
      </c>
      <c r="F5" s="10" t="inlineStr">
        <is>
          <t>Add UnstructuredRemittanceInformation to sing</t>
        </is>
      </c>
      <c r="G5" s="20" t="n">
        <v>7.3333</v>
      </c>
    </row>
    <row r="6">
      <c r="A6" s="10" t="inlineStr">
        <is>
          <t>Pastel de Portal Team</t>
        </is>
      </c>
      <c r="B6" s="10" t="inlineStr">
        <is>
          <t>alan.silva</t>
        </is>
      </c>
      <c r="C6" s="10" t="inlineStr">
        <is>
          <t>PT-22</t>
        </is>
      </c>
      <c r="D6" s="10" t="inlineStr">
        <is>
          <t>PT-22 VOP Single Check</t>
        </is>
      </c>
      <c r="E6" s="10" t="inlineStr">
        <is>
          <t>PT-173</t>
        </is>
      </c>
      <c r="F6" s="10" t="inlineStr">
        <is>
          <t>Connect VoP Single Check to VoP Gateway API</t>
        </is>
      </c>
      <c r="G6" s="20" t="n">
        <v>4.2667</v>
      </c>
    </row>
    <row r="7">
      <c r="A7" s="10" t="inlineStr">
        <is>
          <t>Pastel de Portal Team</t>
        </is>
      </c>
      <c r="B7" s="10" t="inlineStr">
        <is>
          <t>alan.silva</t>
        </is>
      </c>
      <c r="C7" s="10" t="inlineStr">
        <is>
          <t>PT-22</t>
        </is>
      </c>
      <c r="D7" s="10" t="inlineStr">
        <is>
          <t>PT-22 VOP Single Check</t>
        </is>
      </c>
      <c r="E7" s="10" t="inlineStr">
        <is>
          <t>PT-174</t>
        </is>
      </c>
      <c r="F7" s="10" t="inlineStr">
        <is>
          <t>Add UnstructuredRemittanceInformation to sing</t>
        </is>
      </c>
      <c r="G7" s="20" t="n">
        <v>4.2667</v>
      </c>
    </row>
    <row r="8">
      <c r="A8" s="10" t="inlineStr">
        <is>
          <t>Pastel de Portal Team</t>
        </is>
      </c>
      <c r="B8" s="10" t="inlineStr">
        <is>
          <t>alan.silva</t>
        </is>
      </c>
      <c r="C8" s="10" t="inlineStr">
        <is>
          <t>PT-54</t>
        </is>
      </c>
      <c r="D8" s="10" t="inlineStr">
        <is>
          <t>PT-54 VOP File Check</t>
        </is>
      </c>
      <c r="E8" s="10" t="inlineStr">
        <is>
          <t>PT-193</t>
        </is>
      </c>
      <c r="F8" s="10" t="inlineStr">
        <is>
          <t>Upload pain.001 format</t>
        </is>
      </c>
      <c r="G8" s="20" t="n">
        <v>12</v>
      </c>
    </row>
    <row r="9">
      <c r="A9" s="10" t="inlineStr">
        <is>
          <t>Pastel de Portal Team</t>
        </is>
      </c>
      <c r="B9" s="10" t="inlineStr">
        <is>
          <t>Vitor Fernandes</t>
        </is>
      </c>
      <c r="C9" s="10" t="inlineStr">
        <is>
          <t>PT-54</t>
        </is>
      </c>
      <c r="D9" s="10" t="inlineStr">
        <is>
          <t>PT-54 VOP File Check</t>
        </is>
      </c>
      <c r="E9" s="10" t="inlineStr">
        <is>
          <t>PT-193</t>
        </is>
      </c>
      <c r="F9" s="10" t="inlineStr">
        <is>
          <t>Upload pain.001 format</t>
        </is>
      </c>
      <c r="G9" s="20" t="n">
        <v>8.533300000000001</v>
      </c>
    </row>
    <row r="10">
      <c r="A10" s="10" t="inlineStr">
        <is>
          <t>Pastel de Portal Team</t>
        </is>
      </c>
      <c r="B10" s="10" t="inlineStr">
        <is>
          <t>Vitor Fernandes</t>
        </is>
      </c>
      <c r="C10" s="10" t="inlineStr">
        <is>
          <t>PT-54</t>
        </is>
      </c>
      <c r="D10" s="10" t="inlineStr">
        <is>
          <t>PT-54 VOP File Check</t>
        </is>
      </c>
      <c r="E10" s="10" t="inlineStr">
        <is>
          <t>PT-228</t>
        </is>
      </c>
      <c r="F10" s="10" t="inlineStr">
        <is>
          <t>Update CSV Template for Portal</t>
        </is>
      </c>
      <c r="G10" s="20" t="n">
        <v>8</v>
      </c>
    </row>
    <row r="11">
      <c r="A11" s="10" t="inlineStr">
        <is>
          <t>Platform Team 6</t>
        </is>
      </c>
      <c r="B11" s="10" t="inlineStr">
        <is>
          <t>Elton Qevani</t>
        </is>
      </c>
      <c r="C11" s="10" t="inlineStr">
        <is>
          <t>PT6-1670</t>
        </is>
      </c>
      <c r="D11" s="10" t="inlineStr">
        <is>
          <t xml:space="preserve">PT6-1670 Multi region </t>
        </is>
      </c>
      <c r="E11" s="10" t="inlineStr">
        <is>
          <t>PT6-1667</t>
        </is>
      </c>
      <c r="F11" s="10" t="inlineStr">
        <is>
          <t>Identify network component needed for VOP mul</t>
        </is>
      </c>
      <c r="G11" s="20" t="n">
        <v>48.6667</v>
      </c>
    </row>
    <row r="12">
      <c r="A12" s="10" t="inlineStr">
        <is>
          <t>Platform Team 6</t>
        </is>
      </c>
      <c r="B12" s="10" t="inlineStr">
        <is>
          <t>Elton Qevani</t>
        </is>
      </c>
      <c r="C12" s="10" t="inlineStr">
        <is>
          <t>PT6-1670</t>
        </is>
      </c>
      <c r="D12" s="10" t="inlineStr">
        <is>
          <t xml:space="preserve">PT6-1670 Multi region </t>
        </is>
      </c>
      <c r="E12" s="10" t="inlineStr">
        <is>
          <t>PT6-1694</t>
        </is>
      </c>
      <c r="F12" s="10" t="inlineStr">
        <is>
          <t>Identify components in the platform for multi</t>
        </is>
      </c>
      <c r="G12" s="20" t="n">
        <v>19.3333</v>
      </c>
    </row>
    <row r="13">
      <c r="A13" s="10" t="inlineStr">
        <is>
          <t>Platform Team 6</t>
        </is>
      </c>
      <c r="B13" s="10" t="inlineStr">
        <is>
          <t>Elton Qevani</t>
        </is>
      </c>
      <c r="C13" s="10" t="inlineStr">
        <is>
          <t>PT6-1713</t>
        </is>
      </c>
      <c r="D13" s="10" t="inlineStr">
        <is>
          <t>PT6-1713 Autoscaling</t>
        </is>
      </c>
      <c r="E13" s="10" t="inlineStr">
        <is>
          <t>PT6-1671</t>
        </is>
      </c>
      <c r="F13" s="10" t="inlineStr">
        <is>
          <t>Deploy metrics-server to EKS clusters</t>
        </is>
      </c>
      <c r="G13" s="20" t="n">
        <v>2</v>
      </c>
    </row>
    <row r="14">
      <c r="A14" s="10" t="inlineStr">
        <is>
          <t>Platform Team 6</t>
        </is>
      </c>
      <c r="B14" s="10" t="inlineStr">
        <is>
          <t>Venkata Narendra Mannam</t>
        </is>
      </c>
      <c r="C14" s="10" t="inlineStr">
        <is>
          <t>PT6-1419</t>
        </is>
      </c>
      <c r="D14" s="10" t="inlineStr">
        <is>
          <t>PT6-1419 Traefik migration V3</t>
        </is>
      </c>
      <c r="E14" s="10" t="inlineStr">
        <is>
          <t>PT6-1641</t>
        </is>
      </c>
      <c r="F14" s="10" t="inlineStr">
        <is>
          <t>Upgrade Traefik to V2 latest</t>
        </is>
      </c>
      <c r="G14" s="20" t="n">
        <v>48</v>
      </c>
    </row>
    <row r="15">
      <c r="A15" s="10" t="inlineStr">
        <is>
          <t>Platform Team 6</t>
        </is>
      </c>
      <c r="B15" s="10" t="inlineStr">
        <is>
          <t>Mete Han Karacüllü</t>
        </is>
      </c>
      <c r="C15" s="10" t="inlineStr">
        <is>
          <t>PT6-1670</t>
        </is>
      </c>
      <c r="D15" s="10" t="inlineStr">
        <is>
          <t xml:space="preserve">PT6-1670 Multi region </t>
        </is>
      </c>
      <c r="E15" s="10" t="inlineStr">
        <is>
          <t>PT6-1661</t>
        </is>
      </c>
      <c r="F15" s="10" t="inlineStr">
        <is>
          <t>Create eu-central-1 default bucket</t>
        </is>
      </c>
      <c r="G15" s="20" t="n">
        <v>21.3333</v>
      </c>
    </row>
    <row r="16">
      <c r="A16" s="10" t="inlineStr">
        <is>
          <t>Platform Team 6</t>
        </is>
      </c>
      <c r="B16" s="10" t="inlineStr">
        <is>
          <t>Mete Han Karacüllü</t>
        </is>
      </c>
      <c r="C16" s="10" t="inlineStr">
        <is>
          <t>PT6-1713</t>
        </is>
      </c>
      <c r="D16" s="10" t="inlineStr">
        <is>
          <t>PT6-1713 Autoscaling</t>
        </is>
      </c>
      <c r="E16" s="10" t="inlineStr">
        <is>
          <t>PT6-1671</t>
        </is>
      </c>
      <c r="F16" s="10" t="inlineStr">
        <is>
          <t>Deploy metrics-server to EKS clusters</t>
        </is>
      </c>
      <c r="G16" s="20" t="n">
        <v>16</v>
      </c>
    </row>
    <row r="17">
      <c r="A17" s="10" t="inlineStr">
        <is>
          <t>Team Horizon</t>
        </is>
      </c>
      <c r="B17" s="10" t="inlineStr">
        <is>
          <t>Ryan Shepherd</t>
        </is>
      </c>
      <c r="C17" s="10" t="inlineStr">
        <is>
          <t>SUK-5337</t>
        </is>
      </c>
      <c r="D17" s="10" t="inlineStr">
        <is>
          <t xml:space="preserve">SUK-5337 VOP EDS Integration Implementation </t>
        </is>
      </c>
      <c r="E17" s="10" t="inlineStr">
        <is>
          <t>SUK-5438</t>
        </is>
      </c>
      <c r="F17" s="10" t="inlineStr">
        <is>
          <t>[EDS-API]Adjust the logic to send yesterday's</t>
        </is>
      </c>
      <c r="G17" s="20" t="n">
        <v>12.2667</v>
      </c>
    </row>
    <row r="18">
      <c r="A18" s="10" t="inlineStr">
        <is>
          <t>Team Horizon</t>
        </is>
      </c>
      <c r="B18" s="10" t="inlineStr">
        <is>
          <t>Ryan Shepherd</t>
        </is>
      </c>
      <c r="C18" s="10" t="inlineStr">
        <is>
          <t>SUK-5337</t>
        </is>
      </c>
      <c r="D18" s="10" t="inlineStr">
        <is>
          <t xml:space="preserve">SUK-5337 VOP EDS Integration Implementation </t>
        </is>
      </c>
      <c r="E18" s="10" t="inlineStr">
        <is>
          <t>SUK-5441</t>
        </is>
      </c>
      <c r="F18" s="10" t="inlineStr">
        <is>
          <t>EDS lambda - checksum file includes json file</t>
        </is>
      </c>
      <c r="G18" s="20" t="n">
        <v>9.6</v>
      </c>
    </row>
    <row r="19">
      <c r="A19" s="10" t="inlineStr">
        <is>
          <t>Team Horizon</t>
        </is>
      </c>
      <c r="B19" s="10" t="inlineStr">
        <is>
          <t>Ryan Shepherd</t>
        </is>
      </c>
      <c r="C19" s="10" t="inlineStr">
        <is>
          <t>SUK-5337</t>
        </is>
      </c>
      <c r="D19" s="10" t="inlineStr">
        <is>
          <t xml:space="preserve">SUK-5337 VOP EDS Integration Implementation </t>
        </is>
      </c>
      <c r="E19" s="10" t="inlineStr">
        <is>
          <t>SUK-5442</t>
        </is>
      </c>
      <c r="F19" s="10" t="inlineStr">
        <is>
          <t>EDS json is a random mix of camelCase and sna</t>
        </is>
      </c>
      <c r="G19" s="20" t="n">
        <v>6.9333</v>
      </c>
    </row>
    <row r="20">
      <c r="A20" s="10" t="inlineStr">
        <is>
          <t>Team Horizon</t>
        </is>
      </c>
      <c r="B20" s="10" t="inlineStr">
        <is>
          <t>Ryan Shepherd</t>
        </is>
      </c>
      <c r="C20" s="10" t="inlineStr">
        <is>
          <t>SUK-5337</t>
        </is>
      </c>
      <c r="D20" s="10" t="inlineStr">
        <is>
          <t xml:space="preserve">SUK-5337 VOP EDS Integration Implementation </t>
        </is>
      </c>
      <c r="E20" s="10" t="inlineStr">
        <is>
          <t>SUK-5412</t>
        </is>
      </c>
      <c r="F20" s="10" t="inlineStr">
        <is>
          <t>EDS lambda fix security findings (app)</t>
        </is>
      </c>
      <c r="G20" s="20" t="n">
        <v>6.6667</v>
      </c>
    </row>
    <row r="21">
      <c r="A21" s="10" t="inlineStr">
        <is>
          <t>Team Horizon</t>
        </is>
      </c>
      <c r="B21" s="10" t="inlineStr">
        <is>
          <t>Ryan Shepherd</t>
        </is>
      </c>
      <c r="C21" s="10" t="inlineStr">
        <is>
          <t>SUK-5466</t>
        </is>
      </c>
      <c r="D21" s="10" t="inlineStr">
        <is>
          <t>SUK-5466 VOP Outbound Adaptor</t>
        </is>
      </c>
      <c r="E21" s="10" t="inlineStr">
        <is>
          <t>SUK-5461</t>
        </is>
      </c>
      <c r="F21" s="10" t="inlineStr">
        <is>
          <t>[VOP Adaptor] Request &amp; Response processing f</t>
        </is>
      </c>
      <c r="G21" s="20" t="n">
        <v>48</v>
      </c>
    </row>
    <row r="22">
      <c r="A22" s="10" t="inlineStr">
        <is>
          <t>Team Horizon</t>
        </is>
      </c>
      <c r="B22" s="10" t="inlineStr">
        <is>
          <t>Ryan Shepherd</t>
        </is>
      </c>
      <c r="C22" s="10" t="inlineStr">
        <is>
          <t>SUK-5466</t>
        </is>
      </c>
      <c r="D22" s="10" t="inlineStr">
        <is>
          <t>SUK-5466 VOP Outbound Adaptor</t>
        </is>
      </c>
      <c r="E22" s="10" t="inlineStr">
        <is>
          <t>SUK-5467</t>
        </is>
      </c>
      <c r="F22" s="10" t="inlineStr">
        <is>
          <t>Create a BIC enrichment service(Mock)</t>
        </is>
      </c>
      <c r="G22" s="20" t="n">
        <v>4</v>
      </c>
    </row>
    <row r="23">
      <c r="A23" s="10" t="inlineStr">
        <is>
          <t>Team Horizon</t>
        </is>
      </c>
      <c r="B23" s="10" t="inlineStr">
        <is>
          <t>Prabhukiran Narava</t>
        </is>
      </c>
      <c r="C23" s="10" t="inlineStr">
        <is>
          <t>SUK-5337</t>
        </is>
      </c>
      <c r="D23" s="10" t="inlineStr">
        <is>
          <t xml:space="preserve">SUK-5337 VOP EDS Integration Implementation </t>
        </is>
      </c>
      <c r="E23" s="10" t="inlineStr">
        <is>
          <t>SUK-5439</t>
        </is>
      </c>
      <c r="F23" s="10" t="inlineStr">
        <is>
          <t>[EDS-Pilot] Validate EDS Consumer &amp; provision</t>
        </is>
      </c>
      <c r="G23" s="20" t="n">
        <v>22.6667</v>
      </c>
    </row>
    <row r="24">
      <c r="A24" s="10" t="inlineStr">
        <is>
          <t>Team Horizon</t>
        </is>
      </c>
      <c r="B24" s="10" t="inlineStr">
        <is>
          <t>Prabhukiran Narava</t>
        </is>
      </c>
      <c r="C24" s="10" t="inlineStr">
        <is>
          <t>SUK-5337</t>
        </is>
      </c>
      <c r="D24" s="10" t="inlineStr">
        <is>
          <t xml:space="preserve">SUK-5337 VOP EDS Integration Implementation </t>
        </is>
      </c>
      <c r="E24" s="10" t="inlineStr">
        <is>
          <t>SUK-5412</t>
        </is>
      </c>
      <c r="F24" s="10" t="inlineStr">
        <is>
          <t>EDS lambda fix security findings (app)</t>
        </is>
      </c>
      <c r="G24" s="20" t="n">
        <v>7.3333</v>
      </c>
    </row>
    <row r="25">
      <c r="A25" s="10" t="inlineStr">
        <is>
          <t>Team Horizon</t>
        </is>
      </c>
      <c r="B25" s="10" t="inlineStr">
        <is>
          <t>Prabhukiran Narava</t>
        </is>
      </c>
      <c r="C25" s="10" t="inlineStr">
        <is>
          <t>SUK-5466</t>
        </is>
      </c>
      <c r="D25" s="10" t="inlineStr">
        <is>
          <t>SUK-5466 VOP Outbound Adaptor</t>
        </is>
      </c>
      <c r="E25" s="10" t="inlineStr">
        <is>
          <t>SUK-5467</t>
        </is>
      </c>
      <c r="F25" s="10" t="inlineStr">
        <is>
          <t>Create a BIC enrichment service(Mock)</t>
        </is>
      </c>
      <c r="G25" s="20" t="n">
        <v>12</v>
      </c>
    </row>
    <row r="26">
      <c r="A26" s="10" t="inlineStr">
        <is>
          <t>Team Horizon</t>
        </is>
      </c>
      <c r="B26" s="10" t="inlineStr">
        <is>
          <t>Sanjay Chaudhary</t>
        </is>
      </c>
      <c r="C26" s="10" t="inlineStr">
        <is>
          <t>SUK-5466</t>
        </is>
      </c>
      <c r="D26" s="10" t="inlineStr">
        <is>
          <t>SUK-5466 VOP Outbound Adaptor</t>
        </is>
      </c>
      <c r="E26" s="10" t="inlineStr">
        <is>
          <t>SUK-5462</t>
        </is>
      </c>
      <c r="F26" s="10" t="inlineStr">
        <is>
          <t>[Infra VOP Outbound Adaptor] Set up infra usi</t>
        </is>
      </c>
      <c r="G26" s="20" t="n">
        <v>9.4162</v>
      </c>
    </row>
    <row r="27">
      <c r="A27" s="10" t="inlineStr">
        <is>
          <t>Team Horizon</t>
        </is>
      </c>
      <c r="B27" s="10" t="inlineStr">
        <is>
          <t>Santosh Kotkar</t>
        </is>
      </c>
      <c r="C27" s="10" t="inlineStr">
        <is>
          <t>SUK-5337</t>
        </is>
      </c>
      <c r="D27" s="10" t="inlineStr">
        <is>
          <t xml:space="preserve">SUK-5337 VOP EDS Integration Implementation </t>
        </is>
      </c>
      <c r="E27" s="10" t="inlineStr">
        <is>
          <t>SUK-5393</t>
        </is>
      </c>
      <c r="F27" s="10" t="inlineStr">
        <is>
          <t>EDS Pilot testing - Onboarding /Registration/</t>
        </is>
      </c>
      <c r="G27" s="20" t="n">
        <v>4</v>
      </c>
    </row>
    <row r="28">
      <c r="A28" s="10" t="inlineStr">
        <is>
          <t>Team Horizon</t>
        </is>
      </c>
      <c r="B28" s="10" t="inlineStr">
        <is>
          <t>Santosh Kotkar</t>
        </is>
      </c>
      <c r="C28" s="10" t="inlineStr">
        <is>
          <t>SUK-5466</t>
        </is>
      </c>
      <c r="D28" s="10" t="inlineStr">
        <is>
          <t>SUK-5466 VOP Outbound Adaptor</t>
        </is>
      </c>
      <c r="E28" s="10" t="inlineStr">
        <is>
          <t>SUK-5428</t>
        </is>
      </c>
      <c r="F28" s="10" t="inlineStr">
        <is>
          <t>VOP Requester Adaptor - Requirements gatherin</t>
        </is>
      </c>
      <c r="G28" s="20" t="n">
        <v>4</v>
      </c>
    </row>
    <row r="29">
      <c r="A29" s="10" t="inlineStr">
        <is>
          <t>Team Ikigai</t>
        </is>
      </c>
      <c r="B29" s="10" t="inlineStr">
        <is>
          <t>Gerard Veldman</t>
        </is>
      </c>
      <c r="C29" s="10" t="inlineStr">
        <is>
          <t>SPD-2724</t>
        </is>
      </c>
      <c r="D29" s="10" t="inlineStr">
        <is>
          <t>SPD-2724 VoP Bulk Checker Iteration 1</t>
        </is>
      </c>
      <c r="E29" s="10" t="inlineStr">
        <is>
          <t>SPD-2997</t>
        </is>
      </c>
      <c r="F29" s="10" t="inlineStr">
        <is>
          <t>Support for PAIN format</t>
        </is>
      </c>
      <c r="G29" s="20" t="n">
        <v>96</v>
      </c>
    </row>
    <row r="30">
      <c r="A30" s="10" t="inlineStr">
        <is>
          <t>Team Ikigai</t>
        </is>
      </c>
      <c r="B30" s="10" t="inlineStr">
        <is>
          <t>Gerard Veldman</t>
        </is>
      </c>
      <c r="C30" s="10" t="inlineStr">
        <is>
          <t>SPD-2724</t>
        </is>
      </c>
      <c r="D30" s="10" t="inlineStr">
        <is>
          <t>SPD-2724 VoP Bulk Checker Iteration 1</t>
        </is>
      </c>
      <c r="E30" s="10" t="inlineStr">
        <is>
          <t>SPD-3111</t>
        </is>
      </c>
      <c r="F30" s="10" t="inlineStr">
        <is>
          <t>Error Handling</t>
        </is>
      </c>
      <c r="G30" s="20" t="n">
        <v>56</v>
      </c>
    </row>
    <row r="31">
      <c r="A31" s="10" t="inlineStr">
        <is>
          <t>Team Ikigai</t>
        </is>
      </c>
      <c r="B31" s="10" t="inlineStr">
        <is>
          <t>Gerard Veldman</t>
        </is>
      </c>
      <c r="C31" s="10" t="inlineStr">
        <is>
          <t>SPD-2724</t>
        </is>
      </c>
      <c r="D31" s="10" t="inlineStr">
        <is>
          <t>SPD-2724 VoP Bulk Checker Iteration 1</t>
        </is>
      </c>
      <c r="E31" s="10" t="inlineStr">
        <is>
          <t>SPD-3126</t>
        </is>
      </c>
      <c r="F31" s="10" t="inlineStr">
        <is>
          <t>Bulk PRD ready</t>
        </is>
      </c>
      <c r="G31" s="20" t="n">
        <v>24</v>
      </c>
    </row>
    <row r="32">
      <c r="A32" s="10" t="inlineStr">
        <is>
          <t>Team Ikigai</t>
        </is>
      </c>
      <c r="B32" s="10" t="inlineStr">
        <is>
          <t>Juanma Tastzian</t>
        </is>
      </c>
      <c r="C32" s="10" t="inlineStr">
        <is>
          <t>SPD-2716</t>
        </is>
      </c>
      <c r="D32" s="10" t="inlineStr">
        <is>
          <t>SPD-2716 VoP Data Hosting Interation 1</t>
        </is>
      </c>
      <c r="E32" s="10" t="inlineStr">
        <is>
          <t>SPD-2966</t>
        </is>
      </c>
      <c r="F32" s="10" t="inlineStr">
        <is>
          <t>Implement audit logging for VoP Data Hosting</t>
        </is>
      </c>
      <c r="G32" s="20" t="n">
        <v>133.3333</v>
      </c>
    </row>
    <row r="33">
      <c r="A33" s="10" t="inlineStr">
        <is>
          <t>Team Ikigai</t>
        </is>
      </c>
      <c r="B33" s="10" t="inlineStr">
        <is>
          <t>Juanma Tastzian</t>
        </is>
      </c>
      <c r="C33" s="10" t="inlineStr">
        <is>
          <t>SPD-2723</t>
        </is>
      </c>
      <c r="D33" s="10" t="inlineStr">
        <is>
          <t>SPD-2723 VoP Algorithm for BE GoLive</t>
        </is>
      </c>
      <c r="E33" s="10" t="inlineStr">
        <is>
          <t>SPD-3118</t>
        </is>
      </c>
      <c r="F33" s="10" t="inlineStr">
        <is>
          <t>Add DiscardLessThanFiveCharactersRuleStep and</t>
        </is>
      </c>
      <c r="G33" s="20" t="n">
        <v>10.6667</v>
      </c>
    </row>
    <row r="34">
      <c r="A34" s="10" t="inlineStr">
        <is>
          <t>Team Ikigai</t>
        </is>
      </c>
      <c r="B34" s="10" t="inlineStr">
        <is>
          <t>Juanma Tastzian</t>
        </is>
      </c>
      <c r="C34" s="10" t="inlineStr">
        <is>
          <t>SPD-2723</t>
        </is>
      </c>
      <c r="D34" s="10" t="inlineStr">
        <is>
          <t>SPD-2723 VoP Algorithm for BE GoLive</t>
        </is>
      </c>
      <c r="E34" s="10" t="inlineStr">
        <is>
          <t>SPD-3085</t>
        </is>
      </c>
      <c r="F34" s="10" t="inlineStr">
        <is>
          <t>Testing VoP Module in ACC</t>
        </is>
      </c>
      <c r="G34" s="20" t="n">
        <v>6.6667</v>
      </c>
    </row>
    <row r="35">
      <c r="A35" s="10" t="inlineStr">
        <is>
          <t>Team Ikigai</t>
        </is>
      </c>
      <c r="B35" s="10" t="inlineStr">
        <is>
          <t>Juanma Tastzian</t>
        </is>
      </c>
      <c r="C35" s="10" t="inlineStr">
        <is>
          <t>SPD-2723</t>
        </is>
      </c>
      <c r="D35" s="10" t="inlineStr">
        <is>
          <t>SPD-2723 VoP Algorithm for BE GoLive</t>
        </is>
      </c>
      <c r="E35" s="10" t="inlineStr">
        <is>
          <t>SPD-3072</t>
        </is>
      </c>
      <c r="F35" s="10" t="inlineStr">
        <is>
          <t>Determine impact "/" and "+" in name suggesti</t>
        </is>
      </c>
      <c r="G35" s="20" t="n">
        <v>4</v>
      </c>
    </row>
    <row r="36">
      <c r="A36" s="10" t="inlineStr">
        <is>
          <t>Team Ikigai</t>
        </is>
      </c>
      <c r="B36" s="10" t="inlineStr">
        <is>
          <t>Juanma Tastzian</t>
        </is>
      </c>
      <c r="C36" s="10" t="inlineStr">
        <is>
          <t>SPD-2723</t>
        </is>
      </c>
      <c r="D36" s="10" t="inlineStr">
        <is>
          <t>SPD-2723 VoP Algorithm for BE GoLive</t>
        </is>
      </c>
      <c r="E36" s="10" t="inlineStr">
        <is>
          <t>SPD-3083</t>
        </is>
      </c>
      <c r="F36" s="10" t="inlineStr">
        <is>
          <t>Create VoP module in the Algorithm Library</t>
        </is>
      </c>
      <c r="G36" s="20" t="n">
        <v>4</v>
      </c>
    </row>
    <row r="37">
      <c r="A37" s="10" t="inlineStr">
        <is>
          <t>Team Ikigai</t>
        </is>
      </c>
      <c r="B37" s="10" t="inlineStr">
        <is>
          <t>Juanma Tastzian</t>
        </is>
      </c>
      <c r="C37" s="10" t="inlineStr">
        <is>
          <t>SPD-2723</t>
        </is>
      </c>
      <c r="D37" s="10" t="inlineStr">
        <is>
          <t>SPD-2723 VoP Algorithm for BE GoLive</t>
        </is>
      </c>
      <c r="E37" s="10" t="inlineStr">
        <is>
          <t>SPD-3084</t>
        </is>
      </c>
      <c r="F37" s="10" t="inlineStr">
        <is>
          <t>Create VoP Name Matching Library Module Relea</t>
        </is>
      </c>
      <c r="G37" s="20" t="n">
        <v>2.6667</v>
      </c>
    </row>
    <row r="38">
      <c r="A38" s="10" t="inlineStr">
        <is>
          <t>Team Ikigai</t>
        </is>
      </c>
      <c r="B38" s="10" t="inlineStr">
        <is>
          <t>Juanma Tastzian</t>
        </is>
      </c>
      <c r="C38" s="10" t="inlineStr">
        <is>
          <t>SPD-2723</t>
        </is>
      </c>
      <c r="D38" s="10" t="inlineStr">
        <is>
          <t>SPD-2723 VoP Algorithm for BE GoLive</t>
        </is>
      </c>
      <c r="E38" s="10" t="inlineStr">
        <is>
          <t>SPD-3140</t>
        </is>
      </c>
      <c r="F38" s="10" t="inlineStr">
        <is>
          <t>Fix apostrophe's compatibility in Name Matchi</t>
        </is>
      </c>
      <c r="G38" s="20" t="n">
        <v>2.6667</v>
      </c>
    </row>
    <row r="39">
      <c r="A39" s="10" t="inlineStr">
        <is>
          <t>Team Ikigai</t>
        </is>
      </c>
      <c r="B39" s="10" t="inlineStr">
        <is>
          <t>Juanma Tastzian</t>
        </is>
      </c>
      <c r="C39" s="10" t="inlineStr">
        <is>
          <t>SPD-2834</t>
        </is>
      </c>
      <c r="D39" s="10" t="inlineStr">
        <is>
          <t>SPD-2834 VoP Data Hosting Iteration 2</t>
        </is>
      </c>
      <c r="E39" s="10" t="inlineStr">
        <is>
          <t>SPD-3119</t>
        </is>
      </c>
      <c r="F39" s="10" t="inlineStr">
        <is>
          <t>Make legal name language optional for non bel</t>
        </is>
      </c>
      <c r="G39" s="20" t="n">
        <v>12</v>
      </c>
    </row>
    <row r="40">
      <c r="A40" s="10" t="inlineStr">
        <is>
          <t>Team Ikigai</t>
        </is>
      </c>
      <c r="B40" s="10" t="inlineStr">
        <is>
          <t>Elisabeth Gie</t>
        </is>
      </c>
      <c r="C40" s="10" t="inlineStr">
        <is>
          <t>SPD-2749</t>
        </is>
      </c>
      <c r="D40" s="10" t="inlineStr">
        <is>
          <t>SPD-2749 VoP Data Hosting Ingester v1</t>
        </is>
      </c>
      <c r="E40" s="10" t="inlineStr">
        <is>
          <t>SPD-2847</t>
        </is>
      </c>
      <c r="F40" s="10" t="inlineStr">
        <is>
          <t>Change in specs for invalid accounts</t>
        </is>
      </c>
      <c r="G40" s="20" t="n">
        <v>168</v>
      </c>
    </row>
    <row r="41">
      <c r="A41" s="10" t="inlineStr">
        <is>
          <t>Team Ikigai</t>
        </is>
      </c>
      <c r="B41" s="10" t="inlineStr">
        <is>
          <t>Diego Silva</t>
        </is>
      </c>
      <c r="C41" s="10" t="inlineStr">
        <is>
          <t>SPD-2716</t>
        </is>
      </c>
      <c r="D41" s="10" t="inlineStr">
        <is>
          <t>SPD-2716 VoP Data Hosting Interation 1</t>
        </is>
      </c>
      <c r="E41" s="10" t="inlineStr">
        <is>
          <t>SPD-3060</t>
        </is>
      </c>
      <c r="F41" s="10" t="inlineStr">
        <is>
          <t>Observability to VOP DataHosting OpenSearch C</t>
        </is>
      </c>
      <c r="G41" s="20" t="n">
        <v>34.6667</v>
      </c>
    </row>
    <row r="42">
      <c r="A42" s="10" t="inlineStr">
        <is>
          <t>Team Ikigai</t>
        </is>
      </c>
      <c r="B42" s="10" t="inlineStr">
        <is>
          <t>Diego Silva</t>
        </is>
      </c>
      <c r="C42" s="10" t="inlineStr">
        <is>
          <t>SPD-2716</t>
        </is>
      </c>
      <c r="D42" s="10" t="inlineStr">
        <is>
          <t>SPD-2716 VoP Data Hosting Interation 1</t>
        </is>
      </c>
      <c r="E42" s="10" t="inlineStr">
        <is>
          <t>SPD-3062</t>
        </is>
      </c>
      <c r="F42" s="10" t="inlineStr">
        <is>
          <t>Create Alarms for OS Vop DH</t>
        </is>
      </c>
      <c r="G42" s="20" t="n">
        <v>18.6667</v>
      </c>
    </row>
    <row r="43">
      <c r="A43" s="10" t="inlineStr">
        <is>
          <t>Team Ikigai</t>
        </is>
      </c>
      <c r="B43" s="10" t="inlineStr">
        <is>
          <t>Diego Silva</t>
        </is>
      </c>
      <c r="C43" s="10" t="inlineStr">
        <is>
          <t>SPD-2749</t>
        </is>
      </c>
      <c r="D43" s="10" t="inlineStr">
        <is>
          <t>SPD-2749 VoP Data Hosting Ingester v1</t>
        </is>
      </c>
      <c r="E43" s="10" t="inlineStr">
        <is>
          <t>SPD-2828</t>
        </is>
      </c>
      <c r="F43" s="10" t="inlineStr">
        <is>
          <t xml:space="preserve">ECS Cluster Documentation </t>
        </is>
      </c>
      <c r="G43" s="20" t="n">
        <v>73.33329999999999</v>
      </c>
    </row>
    <row r="44">
      <c r="A44" s="10" t="inlineStr">
        <is>
          <t>Team Ikigai</t>
        </is>
      </c>
      <c r="B44" s="10" t="inlineStr">
        <is>
          <t>Diego Silva</t>
        </is>
      </c>
      <c r="C44" s="10" t="inlineStr">
        <is>
          <t>SPD-2834</t>
        </is>
      </c>
      <c r="D44" s="10" t="inlineStr">
        <is>
          <t>SPD-2834 VoP Data Hosting Iteration 2</t>
        </is>
      </c>
      <c r="E44" s="10" t="inlineStr">
        <is>
          <t>SPD-3121</t>
        </is>
      </c>
      <c r="F44" s="10" t="inlineStr">
        <is>
          <t>Onboarding improvements</t>
        </is>
      </c>
      <c r="G44" s="20" t="n">
        <v>14.6667</v>
      </c>
    </row>
    <row r="45">
      <c r="A45" s="10" t="inlineStr">
        <is>
          <t>Team Ikigai</t>
        </is>
      </c>
      <c r="B45" s="10" t="inlineStr">
        <is>
          <t>Diego Silva</t>
        </is>
      </c>
      <c r="C45" s="10" t="inlineStr">
        <is>
          <t>SPD-2834</t>
        </is>
      </c>
      <c r="D45" s="10" t="inlineStr">
        <is>
          <t>SPD-2834 VoP Data Hosting Iteration 2</t>
        </is>
      </c>
      <c r="E45" s="10" t="inlineStr">
        <is>
          <t>SPD-3137</t>
        </is>
      </c>
      <c r="F45" s="10" t="inlineStr">
        <is>
          <t>Opensearch PRD alarm Fine tunning</t>
        </is>
      </c>
      <c r="G45" s="20" t="n">
        <v>2.6667</v>
      </c>
    </row>
    <row r="46">
      <c r="A46" s="10" t="inlineStr">
        <is>
          <t>Team Ikigai</t>
        </is>
      </c>
      <c r="B46" s="10" t="inlineStr">
        <is>
          <t>Keerthi Shankar</t>
        </is>
      </c>
      <c r="C46" s="10" t="inlineStr">
        <is>
          <t>SPD-2716</t>
        </is>
      </c>
      <c r="D46" s="10" t="inlineStr">
        <is>
          <t>SPD-2716 VoP Data Hosting Interation 1</t>
        </is>
      </c>
      <c r="E46" s="10" t="inlineStr">
        <is>
          <t>SPD-3062</t>
        </is>
      </c>
      <c r="F46" s="10" t="inlineStr">
        <is>
          <t>Create Alarms for OS Vop DH</t>
        </is>
      </c>
      <c r="G46" s="20" t="n">
        <v>64</v>
      </c>
    </row>
    <row r="47">
      <c r="A47" s="10" t="inlineStr">
        <is>
          <t>Team Ikigai</t>
        </is>
      </c>
      <c r="B47" s="10" t="inlineStr">
        <is>
          <t>Keerthi Shankar</t>
        </is>
      </c>
      <c r="C47" s="10" t="inlineStr">
        <is>
          <t>SPD-2724</t>
        </is>
      </c>
      <c r="D47" s="10" t="inlineStr">
        <is>
          <t>SPD-2724 VoP Bulk Checker Iteration 1</t>
        </is>
      </c>
      <c r="E47" s="10" t="inlineStr">
        <is>
          <t>SPD-3110</t>
        </is>
      </c>
      <c r="F47" s="10" t="inlineStr">
        <is>
          <t>Oauth via Traefik</t>
        </is>
      </c>
      <c r="G47" s="20" t="n">
        <v>52</v>
      </c>
    </row>
    <row r="48">
      <c r="A48" s="10" t="inlineStr">
        <is>
          <t>Team Ikigai</t>
        </is>
      </c>
      <c r="B48" s="10" t="inlineStr">
        <is>
          <t>Keerthi Shankar</t>
        </is>
      </c>
      <c r="C48" s="10" t="inlineStr">
        <is>
          <t>SPD-2724</t>
        </is>
      </c>
      <c r="D48" s="10" t="inlineStr">
        <is>
          <t>SPD-2724 VoP Bulk Checker Iteration 1</t>
        </is>
      </c>
      <c r="E48" s="10" t="inlineStr">
        <is>
          <t>SPD-3133</t>
        </is>
      </c>
      <c r="F48" s="10" t="inlineStr">
        <is>
          <t>Remove unwanted request headers via traefik b</t>
        </is>
      </c>
      <c r="G48" s="20" t="n">
        <v>4</v>
      </c>
    </row>
    <row r="49">
      <c r="A49" s="10" t="inlineStr">
        <is>
          <t>Team Ikigai</t>
        </is>
      </c>
      <c r="B49" s="10" t="inlineStr">
        <is>
          <t>Keerthi Shankar</t>
        </is>
      </c>
      <c r="C49" s="10" t="inlineStr">
        <is>
          <t>SPD-2834</t>
        </is>
      </c>
      <c r="D49" s="10" t="inlineStr">
        <is>
          <t>SPD-2834 VoP Data Hosting Iteration 2</t>
        </is>
      </c>
      <c r="E49" s="10" t="inlineStr">
        <is>
          <t>SPD-3138</t>
        </is>
      </c>
      <c r="F49" s="10" t="inlineStr">
        <is>
          <t>Allow to have different configuration for eac</t>
        </is>
      </c>
      <c r="G49" s="20" t="n">
        <v>12</v>
      </c>
    </row>
    <row r="50">
      <c r="A50" s="10" t="inlineStr">
        <is>
          <t>Team Ikigai</t>
        </is>
      </c>
      <c r="B50" s="10" t="inlineStr">
        <is>
          <t>Keerthi Shankar</t>
        </is>
      </c>
      <c r="C50" s="10" t="inlineStr">
        <is>
          <t>SPD-3135</t>
        </is>
      </c>
      <c r="D50" s="10" t="inlineStr">
        <is>
          <t>SPD-3135 VoP Bulk Webhook</t>
        </is>
      </c>
      <c r="E50" s="10" t="inlineStr">
        <is>
          <t>SPD-3139</t>
        </is>
      </c>
      <c r="F50" s="10" t="inlineStr">
        <is>
          <t>Setup infra for vop bulk check webhook soluti</t>
        </is>
      </c>
      <c r="G50" s="20" t="n">
        <v>12</v>
      </c>
    </row>
    <row r="51">
      <c r="A51" s="10" t="inlineStr">
        <is>
          <t>Team Ikigai</t>
        </is>
      </c>
      <c r="B51" s="10" t="inlineStr">
        <is>
          <t>Manali Shah</t>
        </is>
      </c>
      <c r="C51" s="10" t="inlineStr">
        <is>
          <t>SPD-2716</t>
        </is>
      </c>
      <c r="D51" s="10" t="inlineStr">
        <is>
          <t>SPD-2716 VoP Data Hosting Interation 1</t>
        </is>
      </c>
      <c r="E51" s="10" t="inlineStr">
        <is>
          <t>SPD-3114</t>
        </is>
      </c>
      <c r="F51" s="10" t="inlineStr">
        <is>
          <t>Add missing PSPs to SSM parameters in ACC</t>
        </is>
      </c>
      <c r="G51" s="20" t="n">
        <v>2.6667</v>
      </c>
    </row>
    <row r="52">
      <c r="A52" s="10" t="inlineStr">
        <is>
          <t>Team Ikigai</t>
        </is>
      </c>
      <c r="B52" s="10" t="inlineStr">
        <is>
          <t>Manali Shah</t>
        </is>
      </c>
      <c r="C52" s="10" t="inlineStr">
        <is>
          <t>SPD-2723</t>
        </is>
      </c>
      <c r="D52" s="10" t="inlineStr">
        <is>
          <t>SPD-2723 VoP Algorithm for BE GoLive</t>
        </is>
      </c>
      <c r="E52" s="10" t="inlineStr">
        <is>
          <t>SPD-3083</t>
        </is>
      </c>
      <c r="F52" s="10" t="inlineStr">
        <is>
          <t>Create VoP module in the Algorithm Library</t>
        </is>
      </c>
      <c r="G52" s="20" t="n">
        <v>50.6667</v>
      </c>
    </row>
    <row r="53">
      <c r="A53" s="10" t="inlineStr">
        <is>
          <t>Team Ikigai</t>
        </is>
      </c>
      <c r="B53" s="10" t="inlineStr">
        <is>
          <t>Manali Shah</t>
        </is>
      </c>
      <c r="C53" s="10" t="inlineStr">
        <is>
          <t>SPD-2723</t>
        </is>
      </c>
      <c r="D53" s="10" t="inlineStr">
        <is>
          <t>SPD-2723 VoP Algorithm for BE GoLive</t>
        </is>
      </c>
      <c r="E53" s="10" t="inlineStr">
        <is>
          <t>SPD-3095</t>
        </is>
      </c>
      <c r="F53" s="10" t="inlineStr">
        <is>
          <t>Pre Matching Additions</t>
        </is>
      </c>
      <c r="G53" s="20" t="n">
        <v>10.6667</v>
      </c>
    </row>
    <row r="54">
      <c r="A54" s="10" t="inlineStr">
        <is>
          <t>Team Ikigai</t>
        </is>
      </c>
      <c r="B54" s="10" t="inlineStr">
        <is>
          <t>Manali Shah</t>
        </is>
      </c>
      <c r="C54" s="10" t="inlineStr">
        <is>
          <t>SPD-2723</t>
        </is>
      </c>
      <c r="D54" s="10" t="inlineStr">
        <is>
          <t>SPD-2723 VoP Algorithm for BE GoLive</t>
        </is>
      </c>
      <c r="E54" s="10" t="inlineStr">
        <is>
          <t>SPD-3084</t>
        </is>
      </c>
      <c r="F54" s="10" t="inlineStr">
        <is>
          <t>Create VoP Name Matching Library Module Relea</t>
        </is>
      </c>
      <c r="G54" s="20" t="n">
        <v>4.6667</v>
      </c>
    </row>
    <row r="55">
      <c r="A55" s="10" t="inlineStr">
        <is>
          <t>Team Ikigai</t>
        </is>
      </c>
      <c r="B55" s="10" t="inlineStr">
        <is>
          <t>Manali Shah</t>
        </is>
      </c>
      <c r="C55" s="10" t="inlineStr">
        <is>
          <t>SPD-2834</t>
        </is>
      </c>
      <c r="D55" s="10" t="inlineStr">
        <is>
          <t>SPD-2834 VoP Data Hosting Iteration 2</t>
        </is>
      </c>
      <c r="E55" s="10" t="inlineStr">
        <is>
          <t>SPD-3113</t>
        </is>
      </c>
      <c r="F55" s="10" t="inlineStr">
        <is>
          <t>Reject accounts with country codes other than</t>
        </is>
      </c>
      <c r="G55" s="20" t="n">
        <v>27.3333</v>
      </c>
    </row>
    <row r="56">
      <c r="A56" s="10" t="inlineStr">
        <is>
          <t>Team Ikigai</t>
        </is>
      </c>
      <c r="B56" s="10" t="inlineStr">
        <is>
          <t>Manali Shah</t>
        </is>
      </c>
      <c r="C56" s="10" t="inlineStr">
        <is>
          <t>SPD-3094</t>
        </is>
      </c>
      <c r="D56" s="10" t="inlineStr">
        <is>
          <t>SPD-3094 VoP Algorithm IPR Ready</t>
        </is>
      </c>
      <c r="E56" s="10" t="inlineStr">
        <is>
          <t>SPD-3105</t>
        </is>
      </c>
      <c r="F56" s="10" t="inlineStr">
        <is>
          <t>A006 Change VoP Name Matching to return a NO_</t>
        </is>
      </c>
      <c r="G56" s="20" t="n">
        <v>40.6667</v>
      </c>
    </row>
    <row r="57">
      <c r="A57" s="10" t="inlineStr">
        <is>
          <t>Team Ikigai</t>
        </is>
      </c>
      <c r="B57" s="10" t="inlineStr">
        <is>
          <t>Sridhar Gnanasekaran</t>
        </is>
      </c>
      <c r="C57" s="10" t="inlineStr">
        <is>
          <t>SPD-2716</t>
        </is>
      </c>
      <c r="D57" s="10" t="inlineStr">
        <is>
          <t>SPD-2716 VoP Data Hosting Interation 1</t>
        </is>
      </c>
      <c r="E57" s="10" t="inlineStr">
        <is>
          <t>SPD-2881</t>
        </is>
      </c>
      <c r="F57" s="10" t="inlineStr">
        <is>
          <t>Ingesting a large (20M records) file does not</t>
        </is>
      </c>
      <c r="G57" s="20" t="n">
        <v>64</v>
      </c>
    </row>
    <row r="58">
      <c r="A58" s="10" t="inlineStr">
        <is>
          <t>Team Ikigai</t>
        </is>
      </c>
      <c r="B58" s="10" t="inlineStr">
        <is>
          <t>Sridhar Gnanasekaran</t>
        </is>
      </c>
      <c r="C58" s="10" t="inlineStr">
        <is>
          <t>SPD-2724</t>
        </is>
      </c>
      <c r="D58" s="10" t="inlineStr">
        <is>
          <t>SPD-2724 VoP Bulk Checker Iteration 1</t>
        </is>
      </c>
      <c r="E58" s="10" t="inlineStr">
        <is>
          <t>SPD-3108</t>
        </is>
      </c>
      <c r="F58" s="10" t="inlineStr">
        <is>
          <t>Traefik Performance Testing</t>
        </is>
      </c>
      <c r="G58" s="20" t="n">
        <v>45.3333</v>
      </c>
    </row>
    <row r="59">
      <c r="A59" s="10" t="inlineStr">
        <is>
          <t>Team Ikigai</t>
        </is>
      </c>
      <c r="B59" s="10" t="inlineStr">
        <is>
          <t>Sridhar Gnanasekaran</t>
        </is>
      </c>
      <c r="C59" s="10" t="inlineStr">
        <is>
          <t>SPD-2834</t>
        </is>
      </c>
      <c r="D59" s="10" t="inlineStr">
        <is>
          <t>SPD-2834 VoP Data Hosting Iteration 2</t>
        </is>
      </c>
      <c r="E59" s="10" t="inlineStr">
        <is>
          <t>SPD-3123</t>
        </is>
      </c>
      <c r="F59" s="10" t="inlineStr">
        <is>
          <t>Fix deletion of /AccountFiles after 30 days</t>
        </is>
      </c>
      <c r="G59" s="20" t="n">
        <v>18.6667</v>
      </c>
    </row>
    <row r="60">
      <c r="A60" s="10" t="inlineStr">
        <is>
          <t>Team Ikigai</t>
        </is>
      </c>
      <c r="B60" s="10" t="inlineStr">
        <is>
          <t>Sridhar Gnanasekaran</t>
        </is>
      </c>
      <c r="C60" s="10" t="inlineStr">
        <is>
          <t>SPD-2834</t>
        </is>
      </c>
      <c r="D60" s="10" t="inlineStr">
        <is>
          <t>SPD-2834 VoP Data Hosting Iteration 2</t>
        </is>
      </c>
      <c r="E60" s="10" t="inlineStr">
        <is>
          <t>SPD-3099</t>
        </is>
      </c>
      <c r="F60" s="10" t="inlineStr">
        <is>
          <t>If MAX_ERRORS are reached, email shows incorr</t>
        </is>
      </c>
      <c r="G60" s="20" t="n">
        <v>2.6667</v>
      </c>
    </row>
    <row r="61">
      <c r="A61" s="10" t="inlineStr">
        <is>
          <t>Team Ikigai</t>
        </is>
      </c>
      <c r="B61" s="10" t="inlineStr">
        <is>
          <t>Sridhar Gnanasekaran</t>
        </is>
      </c>
      <c r="C61" s="10" t="inlineStr">
        <is>
          <t>SPD-2834</t>
        </is>
      </c>
      <c r="D61" s="10" t="inlineStr">
        <is>
          <t>SPD-2834 VoP Data Hosting Iteration 2</t>
        </is>
      </c>
      <c r="E61" s="10" t="inlineStr">
        <is>
          <t>SPD-3117</t>
        </is>
      </c>
      <c r="F61" s="10" t="inlineStr">
        <is>
          <t>Special characters being skipped during inges</t>
        </is>
      </c>
      <c r="G61" s="20" t="n">
        <v>2.6667</v>
      </c>
    </row>
    <row r="62">
      <c r="A62" s="10" t="inlineStr">
        <is>
          <t>Team Ikigai</t>
        </is>
      </c>
      <c r="B62" s="10" t="inlineStr">
        <is>
          <t>Sridhar Gnanasekaran</t>
        </is>
      </c>
      <c r="C62" s="10" t="inlineStr">
        <is>
          <t>SPD-2834</t>
        </is>
      </c>
      <c r="D62" s="10" t="inlineStr">
        <is>
          <t>SPD-2834 VoP Data Hosting Iteration 2</t>
        </is>
      </c>
      <c r="E62" s="10" t="inlineStr">
        <is>
          <t>SPD-3131</t>
        </is>
      </c>
      <c r="F62" s="10" t="inlineStr">
        <is>
          <t>Increase OpenSearch cluster</t>
        </is>
      </c>
      <c r="G62" s="20" t="n">
        <v>2.6667</v>
      </c>
    </row>
    <row r="63">
      <c r="A63" s="10" t="inlineStr">
        <is>
          <t>Team Ikigai</t>
        </is>
      </c>
      <c r="B63" s="10" t="inlineStr">
        <is>
          <t>borys.rudenko</t>
        </is>
      </c>
      <c r="C63" s="10" t="inlineStr">
        <is>
          <t>SPD-2724</t>
        </is>
      </c>
      <c r="D63" s="10" t="inlineStr">
        <is>
          <t>SPD-2724 VoP Bulk Checker Iteration 1</t>
        </is>
      </c>
      <c r="E63" s="10" t="inlineStr">
        <is>
          <t>SPD-3000</t>
        </is>
      </c>
      <c r="F63" s="10" t="inlineStr">
        <is>
          <t>Implement Audit Logging</t>
        </is>
      </c>
      <c r="G63" s="20" t="n">
        <v>120</v>
      </c>
    </row>
    <row r="64">
      <c r="A64" s="10" t="inlineStr">
        <is>
          <t>Team Ikigai</t>
        </is>
      </c>
      <c r="B64" s="10" t="inlineStr">
        <is>
          <t>Chaitanya Sagi</t>
        </is>
      </c>
      <c r="C64" s="10" t="inlineStr">
        <is>
          <t>SPD-2716</t>
        </is>
      </c>
      <c r="D64" s="10" t="inlineStr">
        <is>
          <t>SPD-2716 VoP Data Hosting Interation 1</t>
        </is>
      </c>
      <c r="E64" s="10" t="inlineStr">
        <is>
          <t>SPD-3068</t>
        </is>
      </c>
      <c r="F64" s="10" t="inlineStr">
        <is>
          <t>Scale up Acceptance Data Hosting for Load tes</t>
        </is>
      </c>
      <c r="G64" s="20" t="n">
        <v>8</v>
      </c>
    </row>
    <row r="65">
      <c r="A65" s="10" t="inlineStr">
        <is>
          <t>Team Samba</t>
        </is>
      </c>
      <c r="B65" s="10" t="inlineStr">
        <is>
          <t>Ioannis Argyroulis</t>
        </is>
      </c>
      <c r="C65" s="10" t="inlineStr">
        <is>
          <t>SDO-7209</t>
        </is>
      </c>
      <c r="D65" s="10" t="inlineStr">
        <is>
          <t xml:space="preserve">SDO-7209 VoP Data Provisioning </t>
        </is>
      </c>
      <c r="E65" s="10" t="inlineStr">
        <is>
          <t>SDO-7414</t>
        </is>
      </c>
      <c r="F65" s="10" t="inlineStr">
        <is>
          <t>[Online DataProvisioning] Add validation to t</t>
        </is>
      </c>
      <c r="G65" s="20" t="n">
        <v>15.6</v>
      </c>
    </row>
    <row r="66">
      <c r="A66" s="10" t="inlineStr">
        <is>
          <t>Team Samba</t>
        </is>
      </c>
      <c r="B66" s="10" t="inlineStr">
        <is>
          <t>Ioannis Argyroulis</t>
        </is>
      </c>
      <c r="C66" s="10" t="inlineStr">
        <is>
          <t>SDO-7438</t>
        </is>
      </c>
      <c r="D66" s="10" t="inlineStr">
        <is>
          <t>SDO-7438 VOP Gateway - Enhancements</t>
        </is>
      </c>
      <c r="E66" s="10" t="inlineStr">
        <is>
          <t>SDO-7385</t>
        </is>
      </c>
      <c r="F66" s="10" t="inlineStr">
        <is>
          <t>Implementation of X-Request-Timestamp</t>
        </is>
      </c>
      <c r="G66" s="20" t="n">
        <v>49.3333</v>
      </c>
    </row>
    <row r="67">
      <c r="A67" s="10" t="inlineStr">
        <is>
          <t>Team Samba</t>
        </is>
      </c>
      <c r="B67" s="10" t="inlineStr">
        <is>
          <t>Ioannis Argyroulis</t>
        </is>
      </c>
      <c r="C67" s="10" t="inlineStr">
        <is>
          <t>SDO-7438</t>
        </is>
      </c>
      <c r="D67" s="10" t="inlineStr">
        <is>
          <t>SDO-7438 VOP Gateway - Enhancements</t>
        </is>
      </c>
      <c r="E67" s="10" t="inlineStr">
        <is>
          <t>SDO-7383</t>
        </is>
      </c>
      <c r="F67" s="10" t="inlineStr">
        <is>
          <t>[VOP Gateway] Update YAML with the 3 new head</t>
        </is>
      </c>
      <c r="G67" s="20" t="n">
        <v>31.6</v>
      </c>
    </row>
    <row r="68">
      <c r="A68" s="10" t="inlineStr">
        <is>
          <t>Team Samba</t>
        </is>
      </c>
      <c r="B68" s="10" t="inlineStr">
        <is>
          <t>Ioannis Argyroulis</t>
        </is>
      </c>
      <c r="C68" s="10" t="inlineStr">
        <is>
          <t>SDO-7438</t>
        </is>
      </c>
      <c r="D68" s="10" t="inlineStr">
        <is>
          <t>SDO-7438 VOP Gateway - Enhancements</t>
        </is>
      </c>
      <c r="E68" s="10" t="inlineStr">
        <is>
          <t>SDO-7428</t>
        </is>
      </c>
      <c r="F68" s="10" t="inlineStr">
        <is>
          <t xml:space="preserve">Limit access for ORG API users to just dutch </t>
        </is>
      </c>
      <c r="G68" s="20" t="n">
        <v>25.3333</v>
      </c>
    </row>
    <row r="69">
      <c r="A69" s="10" t="inlineStr">
        <is>
          <t>Team Samba</t>
        </is>
      </c>
      <c r="B69" s="10" t="inlineStr">
        <is>
          <t>Ioannis Argyroulis</t>
        </is>
      </c>
      <c r="C69" s="10" t="inlineStr">
        <is>
          <t>SDO-7438</t>
        </is>
      </c>
      <c r="D69" s="10" t="inlineStr">
        <is>
          <t>SDO-7438 VOP Gateway - Enhancements</t>
        </is>
      </c>
      <c r="E69" s="10" t="inlineStr">
        <is>
          <t>SDO-7294</t>
        </is>
      </c>
      <c r="F69" s="10" t="inlineStr">
        <is>
          <t>[VoP GW] Add an Observability agent</t>
        </is>
      </c>
      <c r="G69" s="20" t="n">
        <v>18.6667</v>
      </c>
    </row>
    <row r="70">
      <c r="A70" s="10" t="inlineStr">
        <is>
          <t>Team Samba</t>
        </is>
      </c>
      <c r="B70" s="10" t="inlineStr">
        <is>
          <t>Sandhya Pai</t>
        </is>
      </c>
      <c r="C70" s="10" t="inlineStr">
        <is>
          <t>SDO-7438</t>
        </is>
      </c>
      <c r="D70" s="10" t="inlineStr">
        <is>
          <t>SDO-7438 VOP Gateway - Enhancements</t>
        </is>
      </c>
      <c r="E70" s="10" t="inlineStr">
        <is>
          <t>SDO-7428</t>
        </is>
      </c>
      <c r="F70" s="10" t="inlineStr">
        <is>
          <t xml:space="preserve">Limit access for ORG API users to just dutch </t>
        </is>
      </c>
      <c r="G70" s="20" t="n">
        <v>96</v>
      </c>
    </row>
    <row r="71">
      <c r="A71" s="10" t="inlineStr">
        <is>
          <t>Team Samba</t>
        </is>
      </c>
      <c r="B71" s="10" t="inlineStr">
        <is>
          <t>Sandhya Pai</t>
        </is>
      </c>
      <c r="C71" s="10" t="inlineStr">
        <is>
          <t>SDO-7438</t>
        </is>
      </c>
      <c r="D71" s="10" t="inlineStr">
        <is>
          <t>SDO-7438 VOP Gateway - Enhancements</t>
        </is>
      </c>
      <c r="E71" s="10" t="inlineStr">
        <is>
          <t>SDO-7396</t>
        </is>
      </c>
      <c r="F71" s="10" t="inlineStr">
        <is>
          <t>Investigate how to limit access for ORG API u</t>
        </is>
      </c>
      <c r="G71" s="20" t="n">
        <v>8</v>
      </c>
    </row>
    <row r="72">
      <c r="A72" s="10" t="inlineStr">
        <is>
          <t>Team Samba</t>
        </is>
      </c>
      <c r="B72" s="10" t="inlineStr">
        <is>
          <t>Sheik Farzand Razi</t>
        </is>
      </c>
      <c r="C72" s="10" t="inlineStr">
        <is>
          <t>SDO-5021</t>
        </is>
      </c>
      <c r="D72" s="10" t="inlineStr">
        <is>
          <t xml:space="preserve">SDO-5021 Service Improvements </t>
        </is>
      </c>
      <c r="E72" s="10" t="inlineStr">
        <is>
          <t>SDO-7478</t>
        </is>
      </c>
      <c r="F72" s="10" t="inlineStr">
        <is>
          <t xml:space="preserve">[Automation] monitoring for certs created by </t>
        </is>
      </c>
      <c r="G72" s="20" t="n">
        <v>45.3333</v>
      </c>
    </row>
    <row r="73">
      <c r="A73" s="10" t="inlineStr">
        <is>
          <t>Team Samba</t>
        </is>
      </c>
      <c r="B73" s="10" t="inlineStr">
        <is>
          <t>Sheik Farzand Razi</t>
        </is>
      </c>
      <c r="C73" s="10" t="inlineStr">
        <is>
          <t>SDO-5021</t>
        </is>
      </c>
      <c r="D73" s="10" t="inlineStr">
        <is>
          <t xml:space="preserve">SDO-5021 Service Improvements </t>
        </is>
      </c>
      <c r="E73" s="10" t="inlineStr">
        <is>
          <t>SDO-7527</t>
        </is>
      </c>
      <c r="F73" s="10" t="inlineStr">
        <is>
          <t>Patch Management - June</t>
        </is>
      </c>
      <c r="G73" s="20" t="n">
        <v>7.4667</v>
      </c>
    </row>
    <row r="74">
      <c r="A74" s="10" t="inlineStr">
        <is>
          <t>Team Samba</t>
        </is>
      </c>
      <c r="B74" s="10" t="inlineStr">
        <is>
          <t>Sheik Farzand Razi</t>
        </is>
      </c>
      <c r="C74" s="10" t="inlineStr">
        <is>
          <t>SDO-7438</t>
        </is>
      </c>
      <c r="D74" s="10" t="inlineStr">
        <is>
          <t>SDO-7438 VOP Gateway - Enhancements</t>
        </is>
      </c>
      <c r="E74" s="10" t="inlineStr">
        <is>
          <t>SDO-7471</t>
        </is>
      </c>
      <c r="F74" s="10" t="inlineStr">
        <is>
          <t>Release Customer settings (BanksConfig &amp; Data</t>
        </is>
      </c>
      <c r="G74" s="20" t="n">
        <v>18.6667</v>
      </c>
    </row>
    <row r="75">
      <c r="A75" s="10" t="inlineStr">
        <is>
          <t>Team Samba</t>
        </is>
      </c>
      <c r="B75" s="10" t="inlineStr">
        <is>
          <t>Sheik Farzand Razi</t>
        </is>
      </c>
      <c r="C75" s="10" t="inlineStr">
        <is>
          <t>SDO-7438</t>
        </is>
      </c>
      <c r="D75" s="10" t="inlineStr">
        <is>
          <t>SDO-7438 VOP Gateway - Enhancements</t>
        </is>
      </c>
      <c r="E75" s="10" t="inlineStr">
        <is>
          <t>SDO-7231</t>
        </is>
      </c>
      <c r="F75" s="10" t="inlineStr">
        <is>
          <t>[VoP Gateway- PRD] Create Apigee proxy for ne</t>
        </is>
      </c>
      <c r="G75" s="20" t="n">
        <v>3.2</v>
      </c>
    </row>
    <row r="76">
      <c r="A76" s="10" t="inlineStr">
        <is>
          <t>Team Samba</t>
        </is>
      </c>
      <c r="B76" s="10" t="inlineStr">
        <is>
          <t>Orwa Badran</t>
        </is>
      </c>
      <c r="C76" s="10" t="inlineStr">
        <is>
          <t>SDO-7438</t>
        </is>
      </c>
      <c r="D76" s="10" t="inlineStr">
        <is>
          <t>SDO-7438 VOP Gateway - Enhancements</t>
        </is>
      </c>
      <c r="E76" s="10" t="inlineStr">
        <is>
          <t>SDO-7466</t>
        </is>
      </c>
      <c r="F76" s="10" t="inlineStr">
        <is>
          <t>[Online] Implement Timeout response for DP AP</t>
        </is>
      </c>
      <c r="G76" s="20" t="n">
        <v>45.6</v>
      </c>
    </row>
    <row r="77">
      <c r="A77" s="10" t="inlineStr">
        <is>
          <t>Team Samba</t>
        </is>
      </c>
      <c r="B77" s="10" t="inlineStr">
        <is>
          <t>Orwa Badran</t>
        </is>
      </c>
      <c r="C77" s="10" t="inlineStr">
        <is>
          <t>SDO-7438</t>
        </is>
      </c>
      <c r="D77" s="10" t="inlineStr">
        <is>
          <t>SDO-7438 VOP Gateway - Enhancements</t>
        </is>
      </c>
      <c r="E77" s="10" t="inlineStr">
        <is>
          <t>SDO-7294</t>
        </is>
      </c>
      <c r="F77" s="10" t="inlineStr">
        <is>
          <t>[VoP GW] Add an Observability agent</t>
        </is>
      </c>
      <c r="G77" s="20" t="n">
        <v>11.6</v>
      </c>
    </row>
    <row r="78">
      <c r="A78" s="10" t="inlineStr">
        <is>
          <t>Team Samba</t>
        </is>
      </c>
      <c r="B78" s="10" t="inlineStr">
        <is>
          <t>Orwa Badran</t>
        </is>
      </c>
      <c r="C78" s="10" t="inlineStr">
        <is>
          <t>SDO-7438</t>
        </is>
      </c>
      <c r="D78" s="10" t="inlineStr">
        <is>
          <t>SDO-7438 VOP Gateway - Enhancements</t>
        </is>
      </c>
      <c r="E78" s="10" t="inlineStr">
        <is>
          <t>SDO-7548</t>
        </is>
      </c>
      <c r="F78" s="10" t="inlineStr">
        <is>
          <t>Implement new VOP Pipeline algorithm</t>
        </is>
      </c>
      <c r="G78" s="20" t="n">
        <v>8</v>
      </c>
    </row>
    <row r="79">
      <c r="A79" s="10" t="inlineStr">
        <is>
          <t>Team Samba</t>
        </is>
      </c>
      <c r="B79" s="10" t="inlineStr">
        <is>
          <t>Orwa Badran</t>
        </is>
      </c>
      <c r="C79" s="10" t="inlineStr">
        <is>
          <t>SDO-7526</t>
        </is>
      </c>
      <c r="D79" s="10" t="inlineStr">
        <is>
          <t>SDO-7526 VOP Algorithm Improvements</t>
        </is>
      </c>
      <c r="E79" s="10" t="inlineStr">
        <is>
          <t>SDO-7574</t>
        </is>
      </c>
      <c r="F79" s="10" t="inlineStr">
        <is>
          <t>[OrgAPI] Integrate new vop name matching libr</t>
        </is>
      </c>
      <c r="G79" s="20" t="n">
        <v>1.6</v>
      </c>
    </row>
    <row r="80">
      <c r="A80" s="10" t="inlineStr">
        <is>
          <t>Team Samba</t>
        </is>
      </c>
      <c r="B80" s="10" t="inlineStr">
        <is>
          <t>Muhammad Sulaiman</t>
        </is>
      </c>
      <c r="C80" s="10" t="inlineStr">
        <is>
          <t>SDO-5021</t>
        </is>
      </c>
      <c r="D80" s="10" t="inlineStr">
        <is>
          <t xml:space="preserve">SDO-5021 Service Improvements </t>
        </is>
      </c>
      <c r="E80" s="10" t="inlineStr">
        <is>
          <t>SDO-7473</t>
        </is>
      </c>
      <c r="F80" s="10" t="inlineStr">
        <is>
          <t xml:space="preserve">Change Credit Europe DP API Endpoint address </t>
        </is>
      </c>
      <c r="G80" s="20" t="n">
        <v>22.4762</v>
      </c>
    </row>
    <row r="81">
      <c r="A81" s="10" t="inlineStr">
        <is>
          <t>Team Samba</t>
        </is>
      </c>
      <c r="B81" s="10" t="inlineStr">
        <is>
          <t>Muhammad Sulaiman</t>
        </is>
      </c>
      <c r="C81" s="10" t="inlineStr">
        <is>
          <t>SDO-5021</t>
        </is>
      </c>
      <c r="D81" s="10" t="inlineStr">
        <is>
          <t xml:space="preserve">SDO-5021 Service Improvements </t>
        </is>
      </c>
      <c r="E81" s="10" t="inlineStr">
        <is>
          <t>SDO-7527</t>
        </is>
      </c>
      <c r="F81" s="10" t="inlineStr">
        <is>
          <t>Patch Management - June</t>
        </is>
      </c>
      <c r="G81" s="20" t="n">
        <v>4.6667</v>
      </c>
    </row>
    <row r="82">
      <c r="A82" s="10" t="inlineStr">
        <is>
          <t>Team Samba</t>
        </is>
      </c>
      <c r="B82" s="10" t="inlineStr">
        <is>
          <t>Muhammad Sulaiman</t>
        </is>
      </c>
      <c r="C82" s="10" t="inlineStr">
        <is>
          <t>SDO-7438</t>
        </is>
      </c>
      <c r="D82" s="10" t="inlineStr">
        <is>
          <t>SDO-7438 VOP Gateway - Enhancements</t>
        </is>
      </c>
      <c r="E82" s="10" t="inlineStr">
        <is>
          <t>SDO-7534</t>
        </is>
      </c>
      <c r="F82" s="10" t="inlineStr">
        <is>
          <t>Release new BE library (PRD)</t>
        </is>
      </c>
      <c r="G82" s="20" t="n">
        <v>7.4095</v>
      </c>
    </row>
    <row r="83">
      <c r="A83" s="10" t="inlineStr">
        <is>
          <t>Team Samba</t>
        </is>
      </c>
      <c r="B83" s="10" t="inlineStr">
        <is>
          <t>Muhammad Sulaiman</t>
        </is>
      </c>
      <c r="C83" s="10" t="inlineStr">
        <is>
          <t>SDO-7438</t>
        </is>
      </c>
      <c r="D83" s="10" t="inlineStr">
        <is>
          <t>SDO-7438 VOP Gateway - Enhancements</t>
        </is>
      </c>
      <c r="E83" s="10" t="inlineStr">
        <is>
          <t>SDO-7467</t>
        </is>
      </c>
      <c r="F83" s="10" t="inlineStr">
        <is>
          <t>Release - EU Datahosting API to PRD</t>
        </is>
      </c>
      <c r="G83" s="20" t="n">
        <v>1.1429</v>
      </c>
    </row>
    <row r="84">
      <c r="A84" s="10" t="inlineStr">
        <is>
          <t>Team Samba</t>
        </is>
      </c>
      <c r="B84" s="10" t="inlineStr">
        <is>
          <t>Muhammad Sulaiman</t>
        </is>
      </c>
      <c r="C84" s="10" t="inlineStr">
        <is>
          <t>SDO-7438</t>
        </is>
      </c>
      <c r="D84" s="10" t="inlineStr">
        <is>
          <t>SDO-7438 VOP Gateway - Enhancements</t>
        </is>
      </c>
      <c r="E84" s="10" t="inlineStr">
        <is>
          <t>SDO-7533</t>
        </is>
      </c>
      <c r="F84" s="10" t="inlineStr">
        <is>
          <t>Release new BE library (ACC)</t>
        </is>
      </c>
      <c r="G84" s="20" t="n">
        <v>1.1429</v>
      </c>
    </row>
    <row r="85">
      <c r="A85" s="10" t="inlineStr">
        <is>
          <t>Team Samba</t>
        </is>
      </c>
      <c r="B85" s="10" t="inlineStr">
        <is>
          <t>Ismail Kuyu</t>
        </is>
      </c>
      <c r="C85" s="10" t="inlineStr">
        <is>
          <t>SDO-6876</t>
        </is>
      </c>
      <c r="D85" s="10" t="inlineStr">
        <is>
          <t>SDO-6876 VoP Gateway solution</t>
        </is>
      </c>
      <c r="E85" s="10" t="inlineStr">
        <is>
          <t>SDO-7484</t>
        </is>
      </c>
      <c r="F85" s="10" t="inlineStr">
        <is>
          <t xml:space="preserve">[vop-gateway-service] Add tenant and country </t>
        </is>
      </c>
      <c r="G85" s="20" t="n">
        <v>1.3333</v>
      </c>
    </row>
    <row r="86">
      <c r="A86" s="10" t="inlineStr">
        <is>
          <t>Team Samba</t>
        </is>
      </c>
      <c r="B86" s="10" t="inlineStr">
        <is>
          <t>Ismail Kuyu</t>
        </is>
      </c>
      <c r="C86" s="10" t="inlineStr">
        <is>
          <t>SDO-7438</t>
        </is>
      </c>
      <c r="D86" s="10" t="inlineStr">
        <is>
          <t>SDO-7438 VOP Gateway - Enhancements</t>
        </is>
      </c>
      <c r="E86" s="10" t="inlineStr">
        <is>
          <t>SDO-7336</t>
        </is>
      </c>
      <c r="F86" s="10" t="inlineStr">
        <is>
          <t>Investigate if we can handle the rate limitin</t>
        </is>
      </c>
      <c r="G86" s="20" t="n">
        <v>25.2</v>
      </c>
    </row>
    <row r="87">
      <c r="A87" s="10" t="inlineStr">
        <is>
          <t>YODA</t>
        </is>
      </c>
      <c r="B87" s="10" t="inlineStr">
        <is>
          <t>Mark Moorcroft</t>
        </is>
      </c>
      <c r="C87" s="10" t="inlineStr">
        <is>
          <t>YODA-1430</t>
        </is>
      </c>
      <c r="D87" s="10" t="inlineStr">
        <is>
          <t>YODA-1430 [Audit] Roll out</t>
        </is>
      </c>
      <c r="E87" s="10" t="inlineStr">
        <is>
          <t>YODA-1456</t>
        </is>
      </c>
      <c r="F87" s="10" t="inlineStr">
        <is>
          <t>Make OrgAPI send audit logs</t>
        </is>
      </c>
      <c r="G87" s="20" t="n">
        <v>80</v>
      </c>
    </row>
    <row r="88">
      <c r="A88" s="10" t="inlineStr">
        <is>
          <t>YODA</t>
        </is>
      </c>
      <c r="B88" s="10" t="inlineStr">
        <is>
          <t>Mark Moorcroft</t>
        </is>
      </c>
      <c r="C88" s="10" t="inlineStr">
        <is>
          <t>YODA-1430</t>
        </is>
      </c>
      <c r="D88" s="10" t="inlineStr">
        <is>
          <t>YODA-1430 [Audit] Roll out</t>
        </is>
      </c>
      <c r="E88" s="10" t="inlineStr">
        <is>
          <t>YODA-1501</t>
        </is>
      </c>
      <c r="F88" s="10" t="inlineStr">
        <is>
          <t xml:space="preserve">[OrgApi] Use central config to send audit to </t>
        </is>
      </c>
      <c r="G88" s="20" t="n">
        <v>34.2667</v>
      </c>
    </row>
    <row r="89">
      <c r="A89" s="10" t="inlineStr">
        <is>
          <t>YODA</t>
        </is>
      </c>
      <c r="B89" s="10" t="inlineStr">
        <is>
          <t>Mark Moorcroft</t>
        </is>
      </c>
      <c r="C89" s="10" t="inlineStr">
        <is>
          <t>YODA-1430</t>
        </is>
      </c>
      <c r="D89" s="10" t="inlineStr">
        <is>
          <t>YODA-1430 [Audit] Roll out</t>
        </is>
      </c>
      <c r="E89" s="10" t="inlineStr">
        <is>
          <t>YODA-1544</t>
        </is>
      </c>
      <c r="F89" s="10" t="inlineStr">
        <is>
          <t>[Org Api] Ensure relevant information is adde</t>
        </is>
      </c>
      <c r="G89" s="20" t="n">
        <v>14</v>
      </c>
    </row>
    <row r="90">
      <c r="A90" s="10" t="inlineStr">
        <is>
          <t>YODA</t>
        </is>
      </c>
      <c r="B90" s="10" t="inlineStr">
        <is>
          <t>Mark Moorcroft</t>
        </is>
      </c>
      <c r="C90" s="10" t="inlineStr">
        <is>
          <t>YODA-1430</t>
        </is>
      </c>
      <c r="D90" s="10" t="inlineStr">
        <is>
          <t>YODA-1430 [Audit] Roll out</t>
        </is>
      </c>
      <c r="E90" s="10" t="inlineStr">
        <is>
          <t>YODA-1541</t>
        </is>
      </c>
      <c r="F90" s="10" t="inlineStr">
        <is>
          <t>[Auth0][PRD] Add auth0 BE tenants</t>
        </is>
      </c>
      <c r="G90" s="20" t="n">
        <v>6.9333</v>
      </c>
    </row>
    <row r="91">
      <c r="A91" s="10" t="inlineStr">
        <is>
          <t>YODA</t>
        </is>
      </c>
      <c r="B91" s="10" t="inlineStr">
        <is>
          <t>Mark Moorcroft</t>
        </is>
      </c>
      <c r="C91" s="10" t="inlineStr">
        <is>
          <t>YODA-1430</t>
        </is>
      </c>
      <c r="D91" s="10" t="inlineStr">
        <is>
          <t>YODA-1430 [Audit] Roll out</t>
        </is>
      </c>
      <c r="E91" s="10" t="inlineStr">
        <is>
          <t>YODA-1505</t>
        </is>
      </c>
      <c r="F91" s="10" t="inlineStr">
        <is>
          <t>[Documentation] Write docus on infra for othe</t>
        </is>
      </c>
      <c r="G91" s="20" t="n">
        <v>6</v>
      </c>
    </row>
    <row r="92">
      <c r="A92" s="10" t="inlineStr">
        <is>
          <t>YODA</t>
        </is>
      </c>
      <c r="B92" s="10" t="inlineStr">
        <is>
          <t>Mark Moorcroft</t>
        </is>
      </c>
      <c r="C92" s="10" t="inlineStr">
        <is>
          <t>YODA-1430</t>
        </is>
      </c>
      <c r="D92" s="10" t="inlineStr">
        <is>
          <t>YODA-1430 [Audit] Roll out</t>
        </is>
      </c>
      <c r="E92" s="10" t="inlineStr">
        <is>
          <t>YODA-1516</t>
        </is>
      </c>
      <c r="F92" s="10" t="inlineStr">
        <is>
          <t>[Auth0][PRD] Add auth0 config</t>
        </is>
      </c>
      <c r="G92" s="20" t="n">
        <v>3.3333</v>
      </c>
    </row>
    <row r="93">
      <c r="A93" s="10" t="inlineStr">
        <is>
          <t>YODA</t>
        </is>
      </c>
      <c r="B93" s="10" t="inlineStr">
        <is>
          <t>Mark Moorcroft</t>
        </is>
      </c>
      <c r="C93" s="10" t="inlineStr">
        <is>
          <t>YODA-1430</t>
        </is>
      </c>
      <c r="D93" s="10" t="inlineStr">
        <is>
          <t>YODA-1430 [Audit] Roll out</t>
        </is>
      </c>
      <c r="E93" s="10" t="inlineStr">
        <is>
          <t>YODA-1493</t>
        </is>
      </c>
      <c r="F93" s="10" t="inlineStr">
        <is>
          <t xml:space="preserve">Write down onboarding procedure to add banks </t>
        </is>
      </c>
      <c r="G93" s="20" t="n">
        <v>2.9333</v>
      </c>
    </row>
    <row r="94">
      <c r="A94" s="10" t="inlineStr">
        <is>
          <t>YODA</t>
        </is>
      </c>
      <c r="B94" s="10" t="inlineStr">
        <is>
          <t>Mark Moorcroft</t>
        </is>
      </c>
      <c r="C94" s="10" t="inlineStr">
        <is>
          <t>YODA-1430</t>
        </is>
      </c>
      <c r="D94" s="10" t="inlineStr">
        <is>
          <t>YODA-1430 [Audit] Roll out</t>
        </is>
      </c>
      <c r="E94" s="10" t="inlineStr">
        <is>
          <t>YODA-1542</t>
        </is>
      </c>
      <c r="F94" s="10" t="inlineStr">
        <is>
          <t>[PROD EU] vod audit onboarding lambda field c</t>
        </is>
      </c>
      <c r="G94" s="20" t="n">
        <v>2.9333</v>
      </c>
    </row>
    <row r="95">
      <c r="A95" s="10" t="inlineStr">
        <is>
          <t>YODA</t>
        </is>
      </c>
      <c r="B95" s="10" t="inlineStr">
        <is>
          <t>Mark Moorcroft</t>
        </is>
      </c>
      <c r="C95" s="10" t="inlineStr">
        <is>
          <t>YODA-1430</t>
        </is>
      </c>
      <c r="D95" s="10" t="inlineStr">
        <is>
          <t>YODA-1430 [Audit] Roll out</t>
        </is>
      </c>
      <c r="E95" s="10" t="inlineStr">
        <is>
          <t>YODA-1523</t>
        </is>
      </c>
      <c r="F95" s="10" t="inlineStr">
        <is>
          <t>Update  NL Architecture diagrams with vop-aud</t>
        </is>
      </c>
      <c r="G95" s="20" t="n">
        <v>2.6667</v>
      </c>
    </row>
    <row r="96">
      <c r="A96" s="10" t="inlineStr">
        <is>
          <t>YODA</t>
        </is>
      </c>
      <c r="B96" s="10" t="inlineStr">
        <is>
          <t>Mark Moorcroft</t>
        </is>
      </c>
      <c r="C96" s="10" t="inlineStr">
        <is>
          <t>YODA-1430</t>
        </is>
      </c>
      <c r="D96" s="10" t="inlineStr">
        <is>
          <t>YODA-1430 [Audit] Roll out</t>
        </is>
      </c>
      <c r="E96" s="10" t="inlineStr">
        <is>
          <t>YODA-1438</t>
        </is>
      </c>
      <c r="F96" s="10" t="inlineStr">
        <is>
          <t>[Auth0][PRD] Add Yoda members to SurePay tena</t>
        </is>
      </c>
      <c r="G96" s="20" t="n">
        <v>2</v>
      </c>
    </row>
    <row r="97">
      <c r="A97" s="10" t="inlineStr">
        <is>
          <t>YODA</t>
        </is>
      </c>
      <c r="B97" s="10" t="inlineStr">
        <is>
          <t>Mark Moorcroft</t>
        </is>
      </c>
      <c r="C97" s="10" t="inlineStr">
        <is>
          <t>YODA-1430</t>
        </is>
      </c>
      <c r="D97" s="10" t="inlineStr">
        <is>
          <t>YODA-1430 [Audit] Roll out</t>
        </is>
      </c>
      <c r="E97" s="10" t="inlineStr">
        <is>
          <t>YODA-1518</t>
        </is>
      </c>
      <c r="F97" s="10" t="inlineStr">
        <is>
          <t>[PRD] Add tenants to Belgian OS cluster</t>
        </is>
      </c>
      <c r="G97" s="20" t="n">
        <v>1.6</v>
      </c>
    </row>
    <row r="98">
      <c r="A98" s="10" t="inlineStr">
        <is>
          <t>YODA</t>
        </is>
      </c>
      <c r="B98" s="10" t="inlineStr">
        <is>
          <t>Richard Oliver</t>
        </is>
      </c>
      <c r="C98" s="10" t="inlineStr">
        <is>
          <t>YODA-1429</t>
        </is>
      </c>
      <c r="D98" s="10" t="inlineStr">
        <is>
          <t>YODA-1429 [Audit] Backup strategy</t>
        </is>
      </c>
      <c r="E98" s="10" t="inlineStr">
        <is>
          <t>YODA-1521</t>
        </is>
      </c>
      <c r="F98" s="10" t="inlineStr">
        <is>
          <t>Do backup restore exercise on ACC and documen</t>
        </is>
      </c>
      <c r="G98" s="20" t="n">
        <v>43.6</v>
      </c>
    </row>
    <row r="99">
      <c r="A99" s="10" t="inlineStr">
        <is>
          <t>YODA</t>
        </is>
      </c>
      <c r="B99" s="10" t="inlineStr">
        <is>
          <t>Richard Oliver</t>
        </is>
      </c>
      <c r="C99" s="10" t="inlineStr">
        <is>
          <t>YODA-1430</t>
        </is>
      </c>
      <c r="D99" s="10" t="inlineStr">
        <is>
          <t>YODA-1430 [Audit] Roll out</t>
        </is>
      </c>
      <c r="E99" s="10" t="inlineStr">
        <is>
          <t>YODA-1532</t>
        </is>
      </c>
      <c r="F99" s="10" t="inlineStr">
        <is>
          <t xml:space="preserve">Fix Nexus IQ scan </t>
        </is>
      </c>
      <c r="G99" s="20" t="n">
        <v>34.2667</v>
      </c>
    </row>
    <row r="100">
      <c r="A100" s="10" t="inlineStr">
        <is>
          <t>YODA</t>
        </is>
      </c>
      <c r="B100" s="10" t="inlineStr">
        <is>
          <t>Richard Oliver</t>
        </is>
      </c>
      <c r="C100" s="10" t="inlineStr">
        <is>
          <t>YODA-1430</t>
        </is>
      </c>
      <c r="D100" s="10" t="inlineStr">
        <is>
          <t>YODA-1430 [Audit] Roll out</t>
        </is>
      </c>
      <c r="E100" s="10" t="inlineStr">
        <is>
          <t>YODA-1492</t>
        </is>
      </c>
      <c r="F100" s="10" t="inlineStr">
        <is>
          <t>Scan ECR containers for VoP-Audit (Do the ful</t>
        </is>
      </c>
      <c r="G100" s="20" t="n">
        <v>29.3333</v>
      </c>
    </row>
    <row r="101">
      <c r="A101" s="10" t="inlineStr">
        <is>
          <t>YODA</t>
        </is>
      </c>
      <c r="B101" s="10" t="inlineStr">
        <is>
          <t>Richard Oliver</t>
        </is>
      </c>
      <c r="C101" s="10" t="inlineStr">
        <is>
          <t>YODA-1430</t>
        </is>
      </c>
      <c r="D101" s="10" t="inlineStr">
        <is>
          <t>YODA-1430 [Audit] Roll out</t>
        </is>
      </c>
      <c r="E101" s="10" t="inlineStr">
        <is>
          <t>YODA-1509</t>
        </is>
      </c>
      <c r="F101" s="10" t="inlineStr">
        <is>
          <t>Create new label for default cluster</t>
        </is>
      </c>
      <c r="G101" s="20" t="n">
        <v>10.6667</v>
      </c>
    </row>
    <row r="102">
      <c r="A102" s="10" t="inlineStr">
        <is>
          <t>YODA</t>
        </is>
      </c>
      <c r="B102" s="10" t="inlineStr">
        <is>
          <t>Richard Oliver</t>
        </is>
      </c>
      <c r="C102" s="10" t="inlineStr">
        <is>
          <t>YODA-1430</t>
        </is>
      </c>
      <c r="D102" s="10" t="inlineStr">
        <is>
          <t>YODA-1430 [Audit] Roll out</t>
        </is>
      </c>
      <c r="E102" s="10" t="inlineStr">
        <is>
          <t>YODA-1507</t>
        </is>
      </c>
      <c r="F102" s="10" t="inlineStr">
        <is>
          <t>FluentD SSL Errors</t>
        </is>
      </c>
      <c r="G102" s="20" t="n">
        <v>8</v>
      </c>
    </row>
    <row r="103">
      <c r="A103" s="10" t="inlineStr">
        <is>
          <t>YODA</t>
        </is>
      </c>
      <c r="B103" s="10" t="inlineStr">
        <is>
          <t>Richard Oliver</t>
        </is>
      </c>
      <c r="C103" s="10" t="inlineStr">
        <is>
          <t>YODA-1430</t>
        </is>
      </c>
      <c r="D103" s="10" t="inlineStr">
        <is>
          <t>YODA-1430 [Audit] Roll out</t>
        </is>
      </c>
      <c r="E103" s="10" t="inlineStr">
        <is>
          <t>YODA-1527</t>
        </is>
      </c>
      <c r="F103" s="10" t="inlineStr">
        <is>
          <t>[SecReview] Remove custom endpoint, it should</t>
        </is>
      </c>
      <c r="G103" s="20" t="n">
        <v>6.9333</v>
      </c>
    </row>
    <row r="104">
      <c r="A104" s="10" t="inlineStr">
        <is>
          <t>YODA</t>
        </is>
      </c>
      <c r="B104" s="10" t="inlineStr">
        <is>
          <t>Richard Oliver</t>
        </is>
      </c>
      <c r="C104" s="10" t="inlineStr">
        <is>
          <t>YODA-1430</t>
        </is>
      </c>
      <c r="D104" s="10" t="inlineStr">
        <is>
          <t>YODA-1430 [Audit] Roll out</t>
        </is>
      </c>
      <c r="E104" s="10" t="inlineStr">
        <is>
          <t>YODA-1529</t>
        </is>
      </c>
      <c r="F104" s="10" t="inlineStr">
        <is>
          <t>[Vop-audit] [security-review] handle addition</t>
        </is>
      </c>
      <c r="G104" s="20" t="n">
        <v>4.2667</v>
      </c>
    </row>
    <row r="105">
      <c r="A105" s="10" t="inlineStr">
        <is>
          <t>YODA</t>
        </is>
      </c>
      <c r="B105" s="10" t="inlineStr">
        <is>
          <t>Richard Oliver</t>
        </is>
      </c>
      <c r="C105" s="10" t="inlineStr">
        <is>
          <t>YODA-1430</t>
        </is>
      </c>
      <c r="D105" s="10" t="inlineStr">
        <is>
          <t>YODA-1430 [Audit] Roll out</t>
        </is>
      </c>
      <c r="E105" s="10" t="inlineStr">
        <is>
          <t>YODA-1547</t>
        </is>
      </c>
      <c r="F105" s="10" t="inlineStr">
        <is>
          <t>[Audit] logout settings to prevent error</t>
        </is>
      </c>
      <c r="G105" s="20" t="n">
        <v>2.6667</v>
      </c>
    </row>
    <row r="106">
      <c r="A106" s="10" t="inlineStr">
        <is>
          <t>YODA</t>
        </is>
      </c>
      <c r="B106" s="10" t="inlineStr">
        <is>
          <t>Richard Oliver</t>
        </is>
      </c>
      <c r="C106" s="10" t="inlineStr">
        <is>
          <t>YODA-1430</t>
        </is>
      </c>
      <c r="D106" s="10" t="inlineStr">
        <is>
          <t>YODA-1430 [Audit] Roll out</t>
        </is>
      </c>
      <c r="E106" s="10" t="inlineStr">
        <is>
          <t>YODA-1553</t>
        </is>
      </c>
      <c r="F106" s="10" t="inlineStr">
        <is>
          <t>Clean up ACC BE Audit cluster after load test</t>
        </is>
      </c>
      <c r="G106" s="20" t="n">
        <v>2</v>
      </c>
    </row>
    <row r="107">
      <c r="A107" s="10" t="inlineStr">
        <is>
          <t>YODA</t>
        </is>
      </c>
      <c r="B107" s="10" t="inlineStr">
        <is>
          <t>Richard Oliver</t>
        </is>
      </c>
      <c r="C107" s="10" t="inlineStr">
        <is>
          <t>YODA-1430</t>
        </is>
      </c>
      <c r="D107" s="10" t="inlineStr">
        <is>
          <t>YODA-1430 [Audit] Roll out</t>
        </is>
      </c>
      <c r="E107" s="10" t="inlineStr">
        <is>
          <t>YODA-1537</t>
        </is>
      </c>
      <c r="F107" s="10" t="inlineStr">
        <is>
          <t>[PRD]-OpenSearch - adding config for larger m</t>
        </is>
      </c>
      <c r="G107" s="20" t="n">
        <v>1.6</v>
      </c>
    </row>
    <row r="108">
      <c r="A108" s="10" t="inlineStr">
        <is>
          <t>YODA</t>
        </is>
      </c>
      <c r="B108" s="10" t="inlineStr">
        <is>
          <t>Parth Mewada</t>
        </is>
      </c>
      <c r="C108" s="10" t="inlineStr">
        <is>
          <t>YODA-1430</t>
        </is>
      </c>
      <c r="D108" s="10" t="inlineStr">
        <is>
          <t>YODA-1430 [Audit] Roll out</t>
        </is>
      </c>
      <c r="E108" s="10" t="inlineStr">
        <is>
          <t>YODA-1432</t>
        </is>
      </c>
      <c r="F108" s="10" t="inlineStr">
        <is>
          <t>[Onboarding-lambda] Change process to use con</t>
        </is>
      </c>
      <c r="G108" s="20" t="n">
        <v>71.2</v>
      </c>
    </row>
    <row r="109">
      <c r="A109" s="10" t="inlineStr">
        <is>
          <t>YODA</t>
        </is>
      </c>
      <c r="B109" s="10" t="inlineStr">
        <is>
          <t>Parth Mewada</t>
        </is>
      </c>
      <c r="C109" s="10" t="inlineStr">
        <is>
          <t>YODA-1430</t>
        </is>
      </c>
      <c r="D109" s="10" t="inlineStr">
        <is>
          <t>YODA-1430 [Audit] Roll out</t>
        </is>
      </c>
      <c r="E109" s="10" t="inlineStr">
        <is>
          <t>YODA-1511</t>
        </is>
      </c>
      <c r="F109" s="10" t="inlineStr">
        <is>
          <t>Refactor release stage for nexus upload and G</t>
        </is>
      </c>
      <c r="G109" s="20" t="n">
        <v>22.6667</v>
      </c>
    </row>
    <row r="110">
      <c r="A110" s="10" t="inlineStr">
        <is>
          <t>YODA</t>
        </is>
      </c>
      <c r="B110" s="10" t="inlineStr">
        <is>
          <t>Parth Mewada</t>
        </is>
      </c>
      <c r="C110" s="10" t="inlineStr">
        <is>
          <t>YODA-1430</t>
        </is>
      </c>
      <c r="D110" s="10" t="inlineStr">
        <is>
          <t>YODA-1430 [Audit] Roll out</t>
        </is>
      </c>
      <c r="E110" s="10" t="inlineStr">
        <is>
          <t>YODA-1514</t>
        </is>
      </c>
      <c r="F110" s="10" t="inlineStr">
        <is>
          <t>[Platform6] Update the traefik-ingress config</t>
        </is>
      </c>
      <c r="G110" s="20" t="n">
        <v>9.8667</v>
      </c>
    </row>
    <row r="111">
      <c r="A111" s="10" t="inlineStr">
        <is>
          <t>YODA</t>
        </is>
      </c>
      <c r="B111" s="10" t="inlineStr">
        <is>
          <t>Parth Mewada</t>
        </is>
      </c>
      <c r="C111" s="10" t="inlineStr">
        <is>
          <t>YODA-1430</t>
        </is>
      </c>
      <c r="D111" s="10" t="inlineStr">
        <is>
          <t>YODA-1430 [Audit] Roll out</t>
        </is>
      </c>
      <c r="E111" s="10" t="inlineStr">
        <is>
          <t>YODA-1486</t>
        </is>
      </c>
      <c r="F111" s="10" t="inlineStr">
        <is>
          <t>Custom docker image to run lambda</t>
        </is>
      </c>
      <c r="G111" s="20" t="n">
        <v>8</v>
      </c>
    </row>
    <row r="112">
      <c r="A112" s="10" t="inlineStr">
        <is>
          <t>YODA</t>
        </is>
      </c>
      <c r="B112" s="10" t="inlineStr">
        <is>
          <t>Parth Mewada</t>
        </is>
      </c>
      <c r="C112" s="10" t="inlineStr">
        <is>
          <t>YODA-1430</t>
        </is>
      </c>
      <c r="D112" s="10" t="inlineStr">
        <is>
          <t>YODA-1430 [Audit] Roll out</t>
        </is>
      </c>
      <c r="E112" s="10" t="inlineStr">
        <is>
          <t>YODA-1497</t>
        </is>
      </c>
      <c r="F112" s="10" t="inlineStr">
        <is>
          <t xml:space="preserve">[PRD] Request and import SSL certificate for </t>
        </is>
      </c>
      <c r="G112" s="20" t="n">
        <v>6.6667</v>
      </c>
    </row>
    <row r="113">
      <c r="A113" s="10" t="inlineStr">
        <is>
          <t>YODA</t>
        </is>
      </c>
      <c r="B113" s="10" t="inlineStr">
        <is>
          <t>Parth Mewada</t>
        </is>
      </c>
      <c r="C113" s="10" t="inlineStr">
        <is>
          <t>YODA-1430</t>
        </is>
      </c>
      <c r="D113" s="10" t="inlineStr">
        <is>
          <t>YODA-1430 [Audit] Roll out</t>
        </is>
      </c>
      <c r="E113" s="10" t="inlineStr">
        <is>
          <t>YODA-1536</t>
        </is>
      </c>
      <c r="F113" s="10" t="inlineStr">
        <is>
          <t>Add whitelist with IPs from BE &amp; NL so dashbo</t>
        </is>
      </c>
      <c r="G113" s="20" t="n">
        <v>4.2667</v>
      </c>
    </row>
    <row r="114">
      <c r="A114" s="10" t="inlineStr">
        <is>
          <t>YODA</t>
        </is>
      </c>
      <c r="B114" s="10" t="inlineStr">
        <is>
          <t>Parth Mewada</t>
        </is>
      </c>
      <c r="C114" s="10" t="inlineStr">
        <is>
          <t>YODA-1430</t>
        </is>
      </c>
      <c r="D114" s="10" t="inlineStr">
        <is>
          <t>YODA-1430 [Audit] Roll out</t>
        </is>
      </c>
      <c r="E114" s="10" t="inlineStr">
        <is>
          <t>YODA-1530</t>
        </is>
      </c>
      <c r="F114" s="10" t="inlineStr">
        <is>
          <t>[SecReview] - Remove cluster execution role f</t>
        </is>
      </c>
      <c r="G114" s="20" t="n">
        <v>3.2</v>
      </c>
    </row>
    <row r="115">
      <c r="A115" s="10" t="inlineStr">
        <is>
          <t>YODA</t>
        </is>
      </c>
      <c r="B115" s="10" t="inlineStr">
        <is>
          <t>Parth Mewada</t>
        </is>
      </c>
      <c r="C115" s="10" t="inlineStr">
        <is>
          <t>YODA-1430</t>
        </is>
      </c>
      <c r="D115" s="10" t="inlineStr">
        <is>
          <t>YODA-1430 [Audit] Roll out</t>
        </is>
      </c>
      <c r="E115" s="10" t="inlineStr">
        <is>
          <t>YODA-1513</t>
        </is>
      </c>
      <c r="F115" s="10" t="inlineStr">
        <is>
          <t xml:space="preserve">[Platform6] Deploy WAF ACL </t>
        </is>
      </c>
      <c r="G115" s="20" t="n">
        <v>1.6</v>
      </c>
    </row>
    <row r="116">
      <c r="A116" s="10" t="inlineStr">
        <is>
          <t>YODA</t>
        </is>
      </c>
      <c r="B116" s="10" t="inlineStr">
        <is>
          <t>Ramseshu Ghanta</t>
        </is>
      </c>
      <c r="C116" s="10" t="inlineStr">
        <is>
          <t>YODA-1430</t>
        </is>
      </c>
      <c r="D116" s="10" t="inlineStr">
        <is>
          <t>YODA-1430 [Audit] Roll out</t>
        </is>
      </c>
      <c r="E116" s="10" t="inlineStr">
        <is>
          <t>YODA-1520</t>
        </is>
      </c>
      <c r="F116" s="10" t="inlineStr">
        <is>
          <t xml:space="preserve">[VoP gateway] Ensure relevant information is </t>
        </is>
      </c>
      <c r="G116" s="20" t="n">
        <v>64</v>
      </c>
    </row>
    <row r="117">
      <c r="A117" s="10" t="inlineStr">
        <is>
          <t>YODA</t>
        </is>
      </c>
      <c r="B117" s="10" t="inlineStr">
        <is>
          <t>Ramseshu Ghanta</t>
        </is>
      </c>
      <c r="C117" s="10" t="inlineStr">
        <is>
          <t>YODA-1430</t>
        </is>
      </c>
      <c r="D117" s="10" t="inlineStr">
        <is>
          <t>YODA-1430 [Audit] Roll out</t>
        </is>
      </c>
      <c r="E117" s="10" t="inlineStr">
        <is>
          <t>YODA-1545</t>
        </is>
      </c>
      <c r="F117" s="10" t="inlineStr">
        <is>
          <t>[Vop gateway] Add Relevant Information in aud</t>
        </is>
      </c>
      <c r="G117" s="20" t="n">
        <v>32</v>
      </c>
    </row>
    <row r="118">
      <c r="A118" s="10" t="inlineStr">
        <is>
          <t>YODA</t>
        </is>
      </c>
      <c r="B118" s="10" t="inlineStr">
        <is>
          <t>Maarten Knippers</t>
        </is>
      </c>
      <c r="C118" s="10" t="inlineStr">
        <is>
          <t>YODA-1430</t>
        </is>
      </c>
      <c r="D118" s="10" t="inlineStr">
        <is>
          <t>YODA-1430 [Audit] Roll out</t>
        </is>
      </c>
      <c r="E118" s="10" t="inlineStr">
        <is>
          <t>YODA-1503</t>
        </is>
      </c>
      <c r="F118" s="10" t="inlineStr">
        <is>
          <t>[Security] Do a full security review</t>
        </is>
      </c>
      <c r="G118" s="20" t="n">
        <v>68</v>
      </c>
    </row>
    <row r="119">
      <c r="A119" s="10" t="inlineStr">
        <is>
          <t>YODA</t>
        </is>
      </c>
      <c r="B119" s="10" t="inlineStr">
        <is>
          <t>Maarten Knippers</t>
        </is>
      </c>
      <c r="C119" s="10" t="inlineStr">
        <is>
          <t>YODA-1430</t>
        </is>
      </c>
      <c r="D119" s="10" t="inlineStr">
        <is>
          <t>YODA-1430 [Audit] Roll out</t>
        </is>
      </c>
      <c r="E119" s="10" t="inlineStr">
        <is>
          <t>YODA-1523</t>
        </is>
      </c>
      <c r="F119" s="10" t="inlineStr">
        <is>
          <t>Update  NL Architecture diagrams with vop-aud</t>
        </is>
      </c>
      <c r="G119" s="20" t="n">
        <v>4</v>
      </c>
    </row>
    <row r="120">
      <c r="A120" s="10" t="inlineStr">
        <is>
          <t>YODA</t>
        </is>
      </c>
      <c r="B120" s="10" t="inlineStr">
        <is>
          <t>Julian Mulder</t>
        </is>
      </c>
      <c r="C120" s="10" t="inlineStr">
        <is>
          <t>YODA-1429</t>
        </is>
      </c>
      <c r="D120" s="10" t="inlineStr">
        <is>
          <t>YODA-1429 [Audit] Backup strategy</t>
        </is>
      </c>
      <c r="E120" s="10" t="inlineStr">
        <is>
          <t>YODA-1508</t>
        </is>
      </c>
      <c r="F120" s="10" t="inlineStr">
        <is>
          <t>Synchronise backups to backup account.</t>
        </is>
      </c>
      <c r="G120" s="20" t="n">
        <v>64</v>
      </c>
    </row>
    <row r="121">
      <c r="A121" s="10" t="inlineStr">
        <is>
          <t>YODA</t>
        </is>
      </c>
      <c r="B121" s="10" t="inlineStr">
        <is>
          <t>Elton Qevani</t>
        </is>
      </c>
      <c r="C121" s="10" t="inlineStr">
        <is>
          <t>YODA-1430</t>
        </is>
      </c>
      <c r="D121" s="10" t="inlineStr">
        <is>
          <t>YODA-1430 [Audit] Roll out</t>
        </is>
      </c>
      <c r="E121" s="10" t="inlineStr">
        <is>
          <t>YODA-1524</t>
        </is>
      </c>
      <c r="F121" s="10" t="inlineStr">
        <is>
          <t>[SecReview] Add VOP Audit endpoints to platfo</t>
        </is>
      </c>
      <c r="G121" s="20" t="n">
        <v>8</v>
      </c>
    </row>
    <row r="122">
      <c r="A122" s="10" t="inlineStr">
        <is>
          <t>YODA</t>
        </is>
      </c>
      <c r="B122" s="10" t="inlineStr">
        <is>
          <t>Iakovos Belonias</t>
        </is>
      </c>
      <c r="C122" s="10" t="inlineStr">
        <is>
          <t>YODA-1430</t>
        </is>
      </c>
      <c r="D122" s="10" t="inlineStr">
        <is>
          <t>YODA-1430 [Audit] Roll out</t>
        </is>
      </c>
      <c r="E122" s="10" t="inlineStr">
        <is>
          <t>YODA-1540</t>
        </is>
      </c>
      <c r="F122" s="10" t="inlineStr">
        <is>
          <t xml:space="preserve">Add Ireland to the dashboard whitelist so we </t>
        </is>
      </c>
      <c r="G122" s="20" t="n">
        <v>8</v>
      </c>
    </row>
    <row r="124">
      <c r="F124" s="3" t="inlineStr">
        <is>
          <t>TOTAL</t>
        </is>
      </c>
      <c r="G124" s="15">
        <f>SUM(G4:G122)</f>
        <v/>
      </c>
    </row>
  </sheetData>
  <autoFilter ref="A3:G1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6" customWidth="1" min="4" max="4"/>
    <col width="52" customWidth="1" min="5" max="5"/>
  </cols>
  <sheetData>
    <row r="1">
      <c r="A1" s="1" t="inlineStr">
        <is>
          <t>Mapping and scope issues found during this run</t>
        </is>
      </c>
    </row>
    <row r="3">
      <c r="A3" s="9" t="inlineStr">
        <is>
          <t>Team</t>
        </is>
      </c>
      <c r="B3" s="9" t="inlineStr">
        <is>
          <t>Epic key</t>
        </is>
      </c>
      <c r="C3" s="9" t="inlineStr">
        <is>
          <t>Issue</t>
        </is>
      </c>
      <c r="D3" s="9" t="inlineStr">
        <is>
          <t>Example ticket</t>
        </is>
      </c>
      <c r="E3" s="9" t="inlineStr">
        <is>
          <t>Action</t>
        </is>
      </c>
    </row>
    <row r="4">
      <c r="A4" s="10" t="inlineStr">
        <is>
          <t>Pastel de Portal Team</t>
        </is>
      </c>
      <c r="B4" s="10" t="inlineStr">
        <is>
          <t>PT-491</t>
        </is>
      </c>
      <c r="C4" s="10" t="inlineStr">
        <is>
          <t>Absent from the mapping CSV entirely</t>
        </is>
      </c>
      <c r="D4" s="10" t="inlineStr">
        <is>
          <t>PT-97</t>
        </is>
      </c>
      <c r="E4" s="10" t="inlineStr">
        <is>
          <t>Treated as non-WBSO. Add a row to the CSV if it should count.</t>
        </is>
      </c>
    </row>
    <row r="5">
      <c r="A5" s="10" t="inlineStr">
        <is>
          <t>Pastel de Portal Team</t>
        </is>
      </c>
      <c r="B5" s="10" t="inlineStr">
        <is>
          <t>PT-57</t>
        </is>
      </c>
      <c r="C5" s="10" t="inlineStr">
        <is>
          <t>Absent from the mapping CSV entirely</t>
        </is>
      </c>
      <c r="D5" s="10" t="inlineStr">
        <is>
          <t>PT-90</t>
        </is>
      </c>
      <c r="E5" s="10" t="inlineStr">
        <is>
          <t>Treated as non-WBSO. Add a row to the CSV if it should count.</t>
        </is>
      </c>
    </row>
    <row r="6">
      <c r="A6" s="10" t="inlineStr">
        <is>
          <t>Team Horizon</t>
        </is>
      </c>
      <c r="B6" s="10" t="inlineStr">
        <is>
          <t>SUK-1438</t>
        </is>
      </c>
      <c r="C6" s="10" t="inlineStr">
        <is>
          <t>Absent from the mapping CSV entirely</t>
        </is>
      </c>
      <c r="D6" s="10" t="inlineStr">
        <is>
          <t>SUK-1557</t>
        </is>
      </c>
      <c r="E6" s="10" t="inlineStr">
        <is>
          <t>Treated as non-WBSO. Add a row to the CSV if it should count.</t>
        </is>
      </c>
    </row>
    <row r="7">
      <c r="A7" s="10" t="inlineStr">
        <is>
          <t>Team Horizon</t>
        </is>
      </c>
      <c r="B7" s="10" t="inlineStr">
        <is>
          <t>SUK-2339</t>
        </is>
      </c>
      <c r="C7" s="10" t="inlineStr">
        <is>
          <t>Absent from the mapping CSV entirely</t>
        </is>
      </c>
      <c r="D7" s="10" t="inlineStr">
        <is>
          <t>SUK-3511</t>
        </is>
      </c>
      <c r="E7" s="10" t="inlineStr">
        <is>
          <t>Treated as non-WBSO. Add a row to the CSV if it should count.</t>
        </is>
      </c>
    </row>
    <row r="8">
      <c r="A8" s="10" t="inlineStr">
        <is>
          <t>Team Horizon</t>
        </is>
      </c>
      <c r="B8" s="10" t="inlineStr">
        <is>
          <t>SUK-4741</t>
        </is>
      </c>
      <c r="C8" s="10" t="inlineStr">
        <is>
          <t>Absent from the mapping CSV entirely</t>
        </is>
      </c>
      <c r="D8" s="10" t="inlineStr">
        <is>
          <t>SUK-4751</t>
        </is>
      </c>
      <c r="E8" s="10" t="inlineStr">
        <is>
          <t>Treated as non-WBSO. Add a row to the CSV if it should count.</t>
        </is>
      </c>
    </row>
    <row r="9">
      <c r="A9" s="10" t="inlineStr">
        <is>
          <t>Team Horizon</t>
        </is>
      </c>
      <c r="B9" s="10" t="inlineStr">
        <is>
          <t>SUK-6070</t>
        </is>
      </c>
      <c r="C9" s="10" t="inlineStr">
        <is>
          <t>Absent from the mapping CSV entirely</t>
        </is>
      </c>
      <c r="D9" s="10" t="inlineStr">
        <is>
          <t>SUK-5456</t>
        </is>
      </c>
      <c r="E9" s="10" t="inlineStr">
        <is>
          <t>Treated as non-WBSO. Add a row to the CSV if it should count.</t>
        </is>
      </c>
    </row>
    <row r="10">
      <c r="A10" s="10" t="inlineStr">
        <is>
          <t>Team Horizon</t>
        </is>
      </c>
      <c r="B10" s="10" t="inlineStr">
        <is>
          <t>SUK-6076</t>
        </is>
      </c>
      <c r="C10" s="10" t="inlineStr">
        <is>
          <t>Absent from the mapping CSV entirely</t>
        </is>
      </c>
      <c r="D10" s="10" t="inlineStr">
        <is>
          <t>SUK-5097</t>
        </is>
      </c>
      <c r="E10" s="10" t="inlineStr">
        <is>
          <t>Treated as non-WBSO. Add a row to the CSV if it should count.</t>
        </is>
      </c>
    </row>
    <row r="11">
      <c r="A11" s="10" t="inlineStr">
        <is>
          <t>Team Samba</t>
        </is>
      </c>
      <c r="B11" s="10" t="inlineStr">
        <is>
          <t>SDO-8170</t>
        </is>
      </c>
      <c r="C11" s="10" t="inlineStr">
        <is>
          <t>Absent from the mapping CSV entirely</t>
        </is>
      </c>
      <c r="D11" s="10" t="inlineStr">
        <is>
          <t>SDO-7265</t>
        </is>
      </c>
      <c r="E11" s="10" t="inlineStr">
        <is>
          <t>Treated as non-WBSO. Add a row to the CSV if it should count.</t>
        </is>
      </c>
    </row>
    <row r="12">
      <c r="A12" s="10" t="inlineStr">
        <is>
          <t>Team Samba</t>
        </is>
      </c>
      <c r="B12" s="10" t="inlineStr">
        <is>
          <t>SDO-8305</t>
        </is>
      </c>
      <c r="C12" s="10" t="inlineStr">
        <is>
          <t>Absent from the mapping CSV entirely</t>
        </is>
      </c>
      <c r="D12" s="10" t="inlineStr">
        <is>
          <t>SDO-5879</t>
        </is>
      </c>
      <c r="E12" s="10" t="inlineStr">
        <is>
          <t>Treated as non-WBSO. Add a row to the CSV if it should count.</t>
        </is>
      </c>
    </row>
    <row r="13">
      <c r="A13" s="10" t="inlineStr">
        <is>
          <t>Team Samba</t>
        </is>
      </c>
      <c r="B13" s="10" t="inlineStr">
        <is>
          <t>SDO-8455</t>
        </is>
      </c>
      <c r="C13" s="10" t="inlineStr">
        <is>
          <t>Absent from the mapping CSV entirely</t>
        </is>
      </c>
      <c r="D13" s="10" t="inlineStr">
        <is>
          <t>SDO-7576</t>
        </is>
      </c>
      <c r="E13" s="10" t="inlineStr">
        <is>
          <t>Treated as non-WBSO. Add a row to the CSV if it should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2026-08-21T17:06:05Z</dcterms:created>
  <dcterms:modified xsi:type="dcterms:W3CDTF">2026-08-21T17:06:05Z</dcterms:modified>
</cp:coreProperties>
</file>
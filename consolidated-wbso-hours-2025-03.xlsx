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ummary" sheetId="2" state="visible" r:id="rId2"/>
    <sheet name="Pastel de Portal Team" sheetId="3" state="visible" r:id="rId3"/>
    <sheet name="Platform Team 6" sheetId="4" state="visible" r:id="rId4"/>
    <sheet name="Team Horizon" sheetId="5" state="visible" r:id="rId5"/>
    <sheet name="Team Ikigai" sheetId="6" state="visible" r:id="rId6"/>
    <sheet name="Team Samba" sheetId="7" state="visible" r:id="rId7"/>
    <sheet name="YODA" sheetId="8" state="visible" r:id="rId8"/>
    <sheet name="Detail" sheetId="9" state="visible" r:id="rId9"/>
    <sheet name="Diagnostics" sheetId="10" state="visible" r:id="rId10"/>
  </sheets>
  <definedNames>
    <definedName name="_xlnm._FilterDatabase" localSheetId="1" hidden="1">'Summary'!$A$4:$J$10</definedName>
    <definedName name="_xlnm._FilterDatabase" localSheetId="8" hidden="1">'Detail'!$A$3:$G$80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b val="1"/>
      <sz val="11"/>
    </font>
    <font>
      <name val="Arial"/>
      <i val="1"/>
      <color rgb="00666666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164" fontId="4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4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6" fillId="0" borderId="1" pivotButton="0" quotePrefix="0" xfId="0"/>
    <xf numFmtId="1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0" fontId="0" fillId="0" borderId="1" pivotButton="0" quotePrefix="0" xfId="0"/>
    <xf numFmtId="0" fontId="3" fillId="0" borderId="1" pivotButton="0" quotePrefix="0" xfId="0"/>
    <xf numFmtId="164" fontId="3" fillId="4" borderId="1" pivotButton="0" quotePrefix="0" xfId="0"/>
    <xf numFmtId="0" fontId="7" fillId="0" borderId="0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>
        <is>
          <t>Consolidated WBSO Hours — run parameters</t>
        </is>
      </c>
    </row>
    <row r="3">
      <c r="A3" s="2" t="inlineStr">
        <is>
          <t>Parameter</t>
        </is>
      </c>
      <c r="B3" s="2" t="inlineStr">
        <is>
          <t>Value</t>
        </is>
      </c>
    </row>
    <row r="5">
      <c r="A5" s="3" t="inlineStr">
        <is>
          <t>Hours per engineer per day</t>
        </is>
      </c>
      <c r="B5" s="4" t="n">
        <v>8</v>
      </c>
    </row>
    <row r="6">
      <c r="A6" s="3" t="inlineStr">
        <is>
          <t>Reporting month</t>
        </is>
      </c>
      <c r="B6" s="5" t="inlineStr">
        <is>
          <t>2025-03</t>
        </is>
      </c>
    </row>
    <row r="7">
      <c r="A7" s="3" t="inlineStr">
        <is>
          <t>Teams in scope</t>
        </is>
      </c>
      <c r="B7" s="5" t="n">
        <v>6</v>
      </c>
    </row>
    <row r="8">
      <c r="A8" s="3" t="inlineStr">
        <is>
          <t>Teams with WBSO hours</t>
        </is>
      </c>
      <c r="B8" s="5" t="n">
        <v>4</v>
      </c>
    </row>
    <row r="9">
      <c r="A9" s="3" t="inlineStr">
        <is>
          <t>Epic filter</t>
        </is>
      </c>
      <c r="B9" s="5" t="inlineStr">
        <is>
          <t>WBSO epics flagged for each team</t>
        </is>
      </c>
    </row>
    <row r="10">
      <c r="A10" s="3" t="inlineStr">
        <is>
          <t>Mapping CSV</t>
        </is>
      </c>
      <c r="B10" s="5" t="inlineStr">
        <is>
          <t>epics-mapping.csv</t>
        </is>
      </c>
    </row>
    <row r="11">
      <c r="A11" s="3" t="inlineStr">
        <is>
          <t>Generated by</t>
        </is>
      </c>
      <c r="B11" s="5" t="inlineStr">
        <is>
          <t>engineering-metrics / consolidated-wbso-hours</t>
        </is>
      </c>
    </row>
    <row r="13">
      <c r="A13" s="6" t="inlineStr">
        <is>
          <t>Method</t>
        </is>
      </c>
    </row>
    <row r="14" ht="28" customHeight="1">
      <c r="A14" s="7" t="inlineStr">
        <is>
          <t>• A weekday on which an engineer held a ticket while it was In Progress makes that ticket active for them that day.</t>
        </is>
      </c>
    </row>
    <row r="15" ht="28" customHeight="1">
      <c r="A15" s="7" t="inlineStr">
        <is>
          <t>• Each engineer-day is worth at most the hours-per-day figure above, split equally across every ticket active that day.</t>
        </is>
      </c>
    </row>
    <row r="16" ht="28" customHeight="1">
      <c r="A16" s="7" t="inlineStr">
        <is>
          <t>• The split denominator is ALL tickets held that day, including non-WBSO ones. Filtering to WBSO removes rows but never inflates the hours remaining — important for a subsidy claim.</t>
        </is>
      </c>
    </row>
    <row r="17" ht="28" customHeight="1">
      <c r="A17" s="7" t="inlineStr">
        <is>
          <t>• An engineer working for two teams in the month is counted under each, so team capacity figures do not sum to a person-month.</t>
        </is>
      </c>
    </row>
    <row r="18" ht="28" customHeight="1">
      <c r="A18" s="7" t="inlineStr">
        <is>
          <t>• Weekends are excluded. Public holidays are NOT excluded.</t>
        </is>
      </c>
    </row>
    <row r="19" ht="28" customHeight="1">
      <c r="A19" s="7" t="inlineStr">
        <is>
          <t>• Hours on the Detail sheet are computed by the tool from the Jira changelog; they are inputs here, not sheet-derived. Every total above them is a formula.</t>
        </is>
      </c>
    </row>
  </sheetData>
  <mergeCells count="6">
    <mergeCell ref="A16:B16"/>
    <mergeCell ref="A15:B15"/>
    <mergeCell ref="A19:B19"/>
    <mergeCell ref="A14:B14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6" customWidth="1" min="3" max="3"/>
    <col width="11" customWidth="1" min="4" max="4"/>
    <col width="11" customWidth="1" min="5" max="5"/>
    <col width="13" customWidth="1" min="6" max="6"/>
    <col width="16" customWidth="1" min="7" max="7"/>
    <col width="15" customWidth="1" min="8" max="8"/>
    <col width="12" customWidth="1" min="9" max="9"/>
    <col width="34" customWidth="1" min="10" max="10"/>
  </cols>
  <sheetData>
    <row r="1">
      <c r="A1" s="1" t="inlineStr">
        <is>
          <t>WBSO hours per team</t>
        </is>
      </c>
    </row>
    <row r="2">
      <c r="A2" s="8" t="inlineStr">
        <is>
          <t>Hours are SUMIFS over Detail. Capacity = active engineer-days x hours-per-day (Assumptions!B5).</t>
        </is>
      </c>
    </row>
    <row r="4">
      <c r="A4" s="9" t="inlineStr">
        <is>
          <t>Team</t>
        </is>
      </c>
      <c r="B4" s="9" t="inlineStr">
        <is>
          <t>Jira key</t>
        </is>
      </c>
      <c r="C4" s="9" t="inlineStr">
        <is>
          <t>Sheet</t>
        </is>
      </c>
      <c r="D4" s="9" t="inlineStr">
        <is>
          <t>Engineers</t>
        </is>
      </c>
      <c r="E4" s="9" t="inlineStr">
        <is>
          <t>WBSO epics</t>
        </is>
      </c>
      <c r="F4" s="9" t="inlineStr">
        <is>
          <t>WBSO hours</t>
        </is>
      </c>
      <c r="G4" s="9" t="inlineStr">
        <is>
          <t>Active eng-days</t>
        </is>
      </c>
      <c r="H4" s="9" t="inlineStr">
        <is>
          <t>Capacity hours</t>
        </is>
      </c>
      <c r="I4" s="9" t="inlineStr">
        <is>
          <t>WBSO share</t>
        </is>
      </c>
      <c r="J4" s="9" t="inlineStr">
        <is>
          <t>Status</t>
        </is>
      </c>
    </row>
    <row r="5">
      <c r="A5" s="10" t="inlineStr">
        <is>
          <t>Pastel de Portal Team</t>
        </is>
      </c>
      <c r="B5" s="10" t="inlineStr">
        <is>
          <t>PT</t>
        </is>
      </c>
      <c r="C5" s="10" t="inlineStr">
        <is>
          <t>Pastel de Portal Team</t>
        </is>
      </c>
      <c r="D5" s="11" t="n">
        <v>4</v>
      </c>
      <c r="E5" s="11" t="n">
        <v>6</v>
      </c>
      <c r="F5" s="12">
        <f>SUMIFS(Detail!$G$4:$G$80,Detail!$A$4:$A$80,$A5)</f>
        <v/>
      </c>
      <c r="G5" s="11" t="n">
        <v>75</v>
      </c>
      <c r="H5" s="12">
        <f>$G5*Assumptions!$B$5</f>
        <v/>
      </c>
      <c r="I5" s="13">
        <f>IFERROR($F5/$H5,0)</f>
        <v/>
      </c>
      <c r="J5" s="10" t="inlineStr">
        <is>
          <t>32.8h across 4 engineer(s)</t>
        </is>
      </c>
    </row>
    <row r="6">
      <c r="A6" s="10" t="inlineStr">
        <is>
          <t>Platform Team 6</t>
        </is>
      </c>
      <c r="B6" s="10" t="inlineStr">
        <is>
          <t>PT6</t>
        </is>
      </c>
      <c r="C6" s="10" t="inlineStr">
        <is>
          <t>Platform Team 6</t>
        </is>
      </c>
      <c r="D6" s="11" t="n">
        <v>5</v>
      </c>
      <c r="E6" s="11" t="n">
        <v>5</v>
      </c>
      <c r="F6" s="12" t="n">
        <v>0</v>
      </c>
      <c r="G6" s="11" t="n">
        <v>92</v>
      </c>
      <c r="H6" s="12">
        <f>$G6*Assumptions!$B$5</f>
        <v/>
      </c>
      <c r="I6" s="13">
        <f>IFERROR($F6/$H6,0)</f>
        <v/>
      </c>
      <c r="J6" s="14" t="inlineStr">
        <is>
          <t>29 ticket(s) had hours, but all 29 were filtered out as non-WBSO</t>
        </is>
      </c>
    </row>
    <row r="7">
      <c r="A7" s="10" t="inlineStr">
        <is>
          <t>Team Horizon</t>
        </is>
      </c>
      <c r="B7" s="10" t="inlineStr">
        <is>
          <t>SUK</t>
        </is>
      </c>
      <c r="C7" s="10" t="inlineStr">
        <is>
          <t>Team Horizon</t>
        </is>
      </c>
      <c r="D7" s="11" t="n">
        <v>13</v>
      </c>
      <c r="E7" s="11" t="n">
        <v>13</v>
      </c>
      <c r="F7" s="12" t="n">
        <v>0</v>
      </c>
      <c r="G7" s="11" t="n">
        <v>250</v>
      </c>
      <c r="H7" s="12">
        <f>$G7*Assumptions!$B$5</f>
        <v/>
      </c>
      <c r="I7" s="13">
        <f>IFERROR($F7/$H7,0)</f>
        <v/>
      </c>
      <c r="J7" s="14" t="inlineStr">
        <is>
          <t>89 ticket(s) had hours, but all 89 were filtered out as non-WBSO</t>
        </is>
      </c>
    </row>
    <row r="8">
      <c r="A8" s="10" t="inlineStr">
        <is>
          <t>Team Ikigai</t>
        </is>
      </c>
      <c r="B8" s="10" t="inlineStr">
        <is>
          <t>SPD</t>
        </is>
      </c>
      <c r="C8" s="10" t="inlineStr">
        <is>
          <t>Team Ikigai</t>
        </is>
      </c>
      <c r="D8" s="11" t="n">
        <v>9</v>
      </c>
      <c r="E8" s="11" t="n">
        <v>25</v>
      </c>
      <c r="F8" s="12">
        <f>SUMIFS(Detail!$G$4:$G$80,Detail!$A$4:$A$80,$A8)</f>
        <v/>
      </c>
      <c r="G8" s="11" t="n">
        <v>139</v>
      </c>
      <c r="H8" s="12">
        <f>$G8*Assumptions!$B$5</f>
        <v/>
      </c>
      <c r="I8" s="13">
        <f>IFERROR($F8/$H8,0)</f>
        <v/>
      </c>
      <c r="J8" s="10" t="inlineStr">
        <is>
          <t>1029.4h across 9 engineer(s)</t>
        </is>
      </c>
    </row>
    <row r="9">
      <c r="A9" s="10" t="inlineStr">
        <is>
          <t>Team Samba</t>
        </is>
      </c>
      <c r="B9" s="10" t="inlineStr">
        <is>
          <t>SDO</t>
        </is>
      </c>
      <c r="C9" s="10" t="inlineStr">
        <is>
          <t>Team Samba</t>
        </is>
      </c>
      <c r="D9" s="11" t="n">
        <v>10</v>
      </c>
      <c r="E9" s="11" t="n">
        <v>18</v>
      </c>
      <c r="F9" s="12">
        <f>SUMIFS(Detail!$G$4:$G$80,Detail!$A$4:$A$80,$A9)</f>
        <v/>
      </c>
      <c r="G9" s="11" t="n">
        <v>205</v>
      </c>
      <c r="H9" s="12">
        <f>$G9*Assumptions!$B$5</f>
        <v/>
      </c>
      <c r="I9" s="13">
        <f>IFERROR($F9/$H9,0)</f>
        <v/>
      </c>
      <c r="J9" s="10" t="inlineStr">
        <is>
          <t>688.8h across 10 engineer(s)</t>
        </is>
      </c>
    </row>
    <row r="10">
      <c r="A10" s="10" t="inlineStr">
        <is>
          <t>YODA</t>
        </is>
      </c>
      <c r="B10" s="10" t="inlineStr">
        <is>
          <t>YODA</t>
        </is>
      </c>
      <c r="C10" s="10" t="inlineStr">
        <is>
          <t>YODA</t>
        </is>
      </c>
      <c r="D10" s="11" t="n">
        <v>5</v>
      </c>
      <c r="E10" s="11" t="n">
        <v>29</v>
      </c>
      <c r="F10" s="12">
        <f>SUMIFS(Detail!$G$4:$G$80,Detail!$A$4:$A$80,$A10)</f>
        <v/>
      </c>
      <c r="G10" s="11" t="n">
        <v>68</v>
      </c>
      <c r="H10" s="12">
        <f>$G10*Assumptions!$B$5</f>
        <v/>
      </c>
      <c r="I10" s="13">
        <f>IFERROR($F10/$H10,0)</f>
        <v/>
      </c>
      <c r="J10" s="10" t="inlineStr">
        <is>
          <t>293.9h across 5 engineer(s)</t>
        </is>
      </c>
    </row>
    <row r="12">
      <c r="A12" s="3" t="inlineStr">
        <is>
          <t>ALL TEAMS</t>
        </is>
      </c>
      <c r="D12" s="15">
        <f>SUM(D5:D10)</f>
        <v/>
      </c>
      <c r="E12" s="15">
        <f>SUM(E5:E10)</f>
        <v/>
      </c>
      <c r="F12" s="16">
        <f>SUM(F5:F10)</f>
        <v/>
      </c>
      <c r="G12" s="15">
        <f>SUM(G5:G10)</f>
        <v/>
      </c>
      <c r="H12" s="16">
        <f>SUM(H5:H10)</f>
        <v/>
      </c>
      <c r="I12" s="17">
        <f>IFERROR($F12/$H12,0)</f>
        <v/>
      </c>
    </row>
  </sheetData>
  <autoFilter ref="A4: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Pastel de Portal Team — WBSO hours, 2025-03</t>
        </is>
      </c>
    </row>
    <row r="2">
      <c r="A2" s="5" t="inlineStr">
        <is>
          <t>Pastel de Portal Team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Joost Vos</t>
        </is>
      </c>
      <c r="B5" s="10" t="inlineStr">
        <is>
          <t>PT-22</t>
        </is>
      </c>
      <c r="C5" s="10" t="inlineStr">
        <is>
          <t>PT-22 VOP Single Check</t>
        </is>
      </c>
      <c r="D5" s="12">
        <f>SUMIFS(Detail!$G$4:$G$80,Detail!$A$4:$A$80,$A$2,Detail!$B$4:$B$80,$A5,Detail!$C$4:$C$80,$B5)</f>
        <v/>
      </c>
    </row>
    <row r="6">
      <c r="A6" s="18" t="n"/>
      <c r="B6" s="18" t="n"/>
      <c r="C6" s="19" t="inlineStr">
        <is>
          <t>TEAM TOTAL</t>
        </is>
      </c>
      <c r="D6" s="20">
        <f>SUM(D5:D5)</f>
        <v/>
      </c>
    </row>
    <row r="9">
      <c r="A9" s="6" t="inlineStr">
        <is>
          <t>Per engineer</t>
        </is>
      </c>
    </row>
    <row r="10">
      <c r="A10" s="9" t="inlineStr">
        <is>
          <t>Engineer</t>
        </is>
      </c>
      <c r="B10" s="9" t="inlineStr">
        <is>
          <t>WBSO hours</t>
        </is>
      </c>
      <c r="C10" s="9" t="inlineStr">
        <is>
          <t>Day equivalent</t>
        </is>
      </c>
      <c r="D10" s="9" t="inlineStr">
        <is>
          <t>Active days</t>
        </is>
      </c>
      <c r="E10" s="9" t="inlineStr">
        <is>
          <t>Capacity hours</t>
        </is>
      </c>
      <c r="F10" s="9" t="inlineStr">
        <is>
          <t>WBSO share</t>
        </is>
      </c>
      <c r="G10" s="9" t="inlineStr">
        <is>
          <t>Peak tickets/day</t>
        </is>
      </c>
    </row>
    <row r="11">
      <c r="A11" s="10" t="inlineStr">
        <is>
          <t>Joost Vos</t>
        </is>
      </c>
      <c r="B11" s="12">
        <f>SUMIFS(Detail!$G$4:$G$80,Detail!$A$4:$A$80,$A$2,Detail!$B$4:$B$80,$A11)</f>
        <v/>
      </c>
      <c r="C11" s="12">
        <f>IFERROR($B11/Assumptions!$B$5,0)</f>
        <v/>
      </c>
      <c r="D11" s="11" t="n">
        <v>22</v>
      </c>
      <c r="E11" s="12">
        <f>$D11*Assumptions!$B$5</f>
        <v/>
      </c>
      <c r="F11" s="13">
        <f>IFERROR($B11/$E11,0)</f>
        <v/>
      </c>
      <c r="G11" s="11" t="inlineStr">
        <is>
          <t>5 on 06 Mar</t>
        </is>
      </c>
    </row>
    <row r="12">
      <c r="A12" s="3" t="inlineStr">
        <is>
          <t>TOTAL</t>
        </is>
      </c>
      <c r="B12" s="16">
        <f>SUM(B11:B11)</f>
        <v/>
      </c>
      <c r="C12" s="16">
        <f>SUM(C11:C11)</f>
        <v/>
      </c>
      <c r="D12" s="16">
        <f>SUM(D11:D11)</f>
        <v/>
      </c>
      <c r="E12" s="16">
        <f>SUM(E11:E11)</f>
        <v/>
      </c>
      <c r="F12" s="17">
        <f>IFERROR($B12/$E12,0)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3" max="3"/>
  </cols>
  <sheetData>
    <row r="1">
      <c r="A1" s="1" t="inlineStr">
        <is>
          <t>Platform Team 6 — WBSO hours, 2025-03</t>
        </is>
      </c>
    </row>
    <row r="2">
      <c r="A2" s="5" t="inlineStr">
        <is>
          <t>Platform Team 6</t>
        </is>
      </c>
      <c r="C2" s="8" t="inlineStr">
        <is>
          <t>^ SUMIFS key for this sheet; must match the Team column on Detail.</t>
        </is>
      </c>
    </row>
    <row r="4">
      <c r="A4" s="21" t="inlineStr">
        <is>
          <t>29 ticket(s) had hours, but all 29 were filtered out as non-WBSO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3" max="3"/>
  </cols>
  <sheetData>
    <row r="1">
      <c r="A1" s="1" t="inlineStr">
        <is>
          <t>Team Horizon — WBSO hours, 2025-03</t>
        </is>
      </c>
    </row>
    <row r="2">
      <c r="A2" s="5" t="inlineStr">
        <is>
          <t>Team Horizon</t>
        </is>
      </c>
      <c r="C2" s="8" t="inlineStr">
        <is>
          <t>^ SUMIFS key for this sheet; must match the Team column on Detail.</t>
        </is>
      </c>
    </row>
    <row r="4">
      <c r="A4" s="21" t="inlineStr">
        <is>
          <t>89 ticket(s) had hours, but all 89 were filtered out as non-WBSO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Ikigai — WBSO hours, 2025-03</t>
        </is>
      </c>
    </row>
    <row r="2">
      <c r="A2" s="5" t="inlineStr">
        <is>
          <t>Team Ikigai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Gerard Veldman</t>
        </is>
      </c>
      <c r="B5" s="10" t="inlineStr">
        <is>
          <t>SPD-2716</t>
        </is>
      </c>
      <c r="C5" s="10" t="inlineStr">
        <is>
          <t>SPD-2716 VoP Data Hosting Interation 1</t>
        </is>
      </c>
      <c r="D5" s="12">
        <f>SUMIFS(Detail!$G$4:$G$80,Detail!$A$4:$A$80,$A$2,Detail!$B$4:$B$80,$A5,Detail!$C$4:$C$80,$B5)</f>
        <v/>
      </c>
    </row>
    <row r="6">
      <c r="A6" s="10" t="inlineStr">
        <is>
          <t>Gerard Veldman</t>
        </is>
      </c>
      <c r="B6" s="10" t="inlineStr">
        <is>
          <t>SPD-2724</t>
        </is>
      </c>
      <c r="C6" s="10" t="inlineStr">
        <is>
          <t>SPD-2724 VoP Bulk Checker Iteration 1</t>
        </is>
      </c>
      <c r="D6" s="12">
        <f>SUMIFS(Detail!$G$4:$G$80,Detail!$A$4:$A$80,$A$2,Detail!$B$4:$B$80,$A6,Detail!$C$4:$C$80,$B6)</f>
        <v/>
      </c>
    </row>
    <row r="7">
      <c r="A7" s="10" t="inlineStr">
        <is>
          <t>Gerard Veldman</t>
        </is>
      </c>
      <c r="B7" s="10" t="inlineStr">
        <is>
          <t>SPD-2749</t>
        </is>
      </c>
      <c r="C7" s="10" t="inlineStr">
        <is>
          <t>SPD-2749 VoP Data Hosting Ingester v1</t>
        </is>
      </c>
      <c r="D7" s="12">
        <f>SUMIFS(Detail!$G$4:$G$80,Detail!$A$4:$A$80,$A$2,Detail!$B$4:$B$80,$A7,Detail!$C$4:$C$80,$B7)</f>
        <v/>
      </c>
    </row>
    <row r="8">
      <c r="A8" s="10" t="inlineStr">
        <is>
          <t>Diego Silva</t>
        </is>
      </c>
      <c r="B8" s="10" t="inlineStr">
        <is>
          <t>SPD-2716</t>
        </is>
      </c>
      <c r="C8" s="10" t="inlineStr">
        <is>
          <t>SPD-2716 VoP Data Hosting Interation 1</t>
        </is>
      </c>
      <c r="D8" s="12">
        <f>SUMIFS(Detail!$G$4:$G$80,Detail!$A$4:$A$80,$A$2,Detail!$B$4:$B$80,$A8,Detail!$C$4:$C$80,$B8)</f>
        <v/>
      </c>
    </row>
    <row r="9">
      <c r="A9" s="10" t="inlineStr">
        <is>
          <t>Diego Silva</t>
        </is>
      </c>
      <c r="B9" s="10" t="inlineStr">
        <is>
          <t>SPD-2749</t>
        </is>
      </c>
      <c r="C9" s="10" t="inlineStr">
        <is>
          <t>SPD-2749 VoP Data Hosting Ingester v1</t>
        </is>
      </c>
      <c r="D9" s="12">
        <f>SUMIFS(Detail!$G$4:$G$80,Detail!$A$4:$A$80,$A$2,Detail!$B$4:$B$80,$A9,Detail!$C$4:$C$80,$B9)</f>
        <v/>
      </c>
    </row>
    <row r="10">
      <c r="A10" s="10" t="inlineStr">
        <is>
          <t>Manali Shah</t>
        </is>
      </c>
      <c r="B10" s="10" t="inlineStr">
        <is>
          <t>SPD-2716</t>
        </is>
      </c>
      <c r="C10" s="10" t="inlineStr">
        <is>
          <t>SPD-2716 VoP Data Hosting Interation 1</t>
        </is>
      </c>
      <c r="D10" s="12">
        <f>SUMIFS(Detail!$G$4:$G$80,Detail!$A$4:$A$80,$A$2,Detail!$B$4:$B$80,$A10,Detail!$C$4:$C$80,$B10)</f>
        <v/>
      </c>
    </row>
    <row r="11">
      <c r="A11" s="10" t="inlineStr">
        <is>
          <t>Manali Shah</t>
        </is>
      </c>
      <c r="B11" s="10" t="inlineStr">
        <is>
          <t>SPD-2749</t>
        </is>
      </c>
      <c r="C11" s="10" t="inlineStr">
        <is>
          <t>SPD-2749 VoP Data Hosting Ingester v1</t>
        </is>
      </c>
      <c r="D11" s="12">
        <f>SUMIFS(Detail!$G$4:$G$80,Detail!$A$4:$A$80,$A$2,Detail!$B$4:$B$80,$A11,Detail!$C$4:$C$80,$B11)</f>
        <v/>
      </c>
    </row>
    <row r="12">
      <c r="A12" s="10" t="inlineStr">
        <is>
          <t>Sridhar Gnanasekaran</t>
        </is>
      </c>
      <c r="B12" s="10" t="inlineStr">
        <is>
          <t>SPD-2716</t>
        </is>
      </c>
      <c r="C12" s="10" t="inlineStr">
        <is>
          <t>SPD-2716 VoP Data Hosting Interation 1</t>
        </is>
      </c>
      <c r="D12" s="12">
        <f>SUMIFS(Detail!$G$4:$G$80,Detail!$A$4:$A$80,$A$2,Detail!$B$4:$B$80,$A12,Detail!$C$4:$C$80,$B12)</f>
        <v/>
      </c>
    </row>
    <row r="13">
      <c r="A13" s="10" t="inlineStr">
        <is>
          <t>Sridhar Gnanasekaran</t>
        </is>
      </c>
      <c r="B13" s="10" t="inlineStr">
        <is>
          <t>SPD-2749</t>
        </is>
      </c>
      <c r="C13" s="10" t="inlineStr">
        <is>
          <t>SPD-2749 VoP Data Hosting Ingester v1</t>
        </is>
      </c>
      <c r="D13" s="12">
        <f>SUMIFS(Detail!$G$4:$G$80,Detail!$A$4:$A$80,$A$2,Detail!$B$4:$B$80,$A13,Detail!$C$4:$C$80,$B13)</f>
        <v/>
      </c>
    </row>
    <row r="14">
      <c r="A14" s="10" t="inlineStr">
        <is>
          <t>Elisabeth Gie</t>
        </is>
      </c>
      <c r="B14" s="10" t="inlineStr">
        <is>
          <t>SPD-2749</t>
        </is>
      </c>
      <c r="C14" s="10" t="inlineStr">
        <is>
          <t>SPD-2749 VoP Data Hosting Ingester v1</t>
        </is>
      </c>
      <c r="D14" s="12">
        <f>SUMIFS(Detail!$G$4:$G$80,Detail!$A$4:$A$80,$A$2,Detail!$B$4:$B$80,$A14,Detail!$C$4:$C$80,$B14)</f>
        <v/>
      </c>
    </row>
    <row r="15">
      <c r="A15" s="10" t="inlineStr">
        <is>
          <t>Juanma Tastzian</t>
        </is>
      </c>
      <c r="B15" s="10" t="inlineStr">
        <is>
          <t>SPD-2716</t>
        </is>
      </c>
      <c r="C15" s="10" t="inlineStr">
        <is>
          <t>SPD-2716 VoP Data Hosting Interation 1</t>
        </is>
      </c>
      <c r="D15" s="12">
        <f>SUMIFS(Detail!$G$4:$G$80,Detail!$A$4:$A$80,$A$2,Detail!$B$4:$B$80,$A15,Detail!$C$4:$C$80,$B15)</f>
        <v/>
      </c>
    </row>
    <row r="16">
      <c r="A16" s="10" t="inlineStr">
        <is>
          <t>Juanma Tastzian</t>
        </is>
      </c>
      <c r="B16" s="10" t="inlineStr">
        <is>
          <t>SPD-2749</t>
        </is>
      </c>
      <c r="C16" s="10" t="inlineStr">
        <is>
          <t>SPD-2749 VoP Data Hosting Ingester v1</t>
        </is>
      </c>
      <c r="D16" s="12">
        <f>SUMIFS(Detail!$G$4:$G$80,Detail!$A$4:$A$80,$A$2,Detail!$B$4:$B$80,$A16,Detail!$C$4:$C$80,$B16)</f>
        <v/>
      </c>
    </row>
    <row r="17">
      <c r="A17" s="10" t="inlineStr">
        <is>
          <t>Ina Nichitean</t>
        </is>
      </c>
      <c r="B17" s="10" t="inlineStr">
        <is>
          <t>SPD-2716</t>
        </is>
      </c>
      <c r="C17" s="10" t="inlineStr">
        <is>
          <t>SPD-2716 VoP Data Hosting Interation 1</t>
        </is>
      </c>
      <c r="D17" s="12">
        <f>SUMIFS(Detail!$G$4:$G$80,Detail!$A$4:$A$80,$A$2,Detail!$B$4:$B$80,$A17,Detail!$C$4:$C$80,$B17)</f>
        <v/>
      </c>
    </row>
    <row r="18">
      <c r="A18" s="10" t="inlineStr">
        <is>
          <t>Ina Nichitean</t>
        </is>
      </c>
      <c r="B18" s="10" t="inlineStr">
        <is>
          <t>SPD-3341</t>
        </is>
      </c>
      <c r="C18" s="10" t="inlineStr">
        <is>
          <t>SPD-3341 VoP Data Hosting</t>
        </is>
      </c>
      <c r="D18" s="12">
        <f>SUMIFS(Detail!$G$4:$G$80,Detail!$A$4:$A$80,$A$2,Detail!$B$4:$B$80,$A18,Detail!$C$4:$C$80,$B18)</f>
        <v/>
      </c>
    </row>
    <row r="19">
      <c r="A19" s="10" t="inlineStr">
        <is>
          <t>Chaitanya Sagi</t>
        </is>
      </c>
      <c r="B19" s="10" t="inlineStr">
        <is>
          <t>SPD-2716</t>
        </is>
      </c>
      <c r="C19" s="10" t="inlineStr">
        <is>
          <t>SPD-2716 VoP Data Hosting Interation 1</t>
        </is>
      </c>
      <c r="D19" s="12">
        <f>SUMIFS(Detail!$G$4:$G$80,Detail!$A$4:$A$80,$A$2,Detail!$B$4:$B$80,$A19,Detail!$C$4:$C$80,$B19)</f>
        <v/>
      </c>
    </row>
    <row r="20">
      <c r="A20" s="10" t="inlineStr">
        <is>
          <t>Chaitanya Sagi</t>
        </is>
      </c>
      <c r="B20" s="10" t="inlineStr">
        <is>
          <t>SPD-2749</t>
        </is>
      </c>
      <c r="C20" s="10" t="inlineStr">
        <is>
          <t>SPD-2749 VoP Data Hosting Ingester v1</t>
        </is>
      </c>
      <c r="D20" s="12">
        <f>SUMIFS(Detail!$G$4:$G$80,Detail!$A$4:$A$80,$A$2,Detail!$B$4:$B$80,$A20,Detail!$C$4:$C$80,$B20)</f>
        <v/>
      </c>
    </row>
    <row r="21">
      <c r="A21" s="10" t="inlineStr">
        <is>
          <t>Keerthi Shankar</t>
        </is>
      </c>
      <c r="B21" s="10" t="inlineStr">
        <is>
          <t>SPD-2716</t>
        </is>
      </c>
      <c r="C21" s="10" t="inlineStr">
        <is>
          <t>SPD-2716 VoP Data Hosting Interation 1</t>
        </is>
      </c>
      <c r="D21" s="12">
        <f>SUMIFS(Detail!$G$4:$G$80,Detail!$A$4:$A$80,$A$2,Detail!$B$4:$B$80,$A21,Detail!$C$4:$C$80,$B21)</f>
        <v/>
      </c>
    </row>
    <row r="22">
      <c r="A22" s="10" t="inlineStr">
        <is>
          <t>Keerthi Shankar</t>
        </is>
      </c>
      <c r="B22" s="10" t="inlineStr">
        <is>
          <t>SPD-2724</t>
        </is>
      </c>
      <c r="C22" s="10" t="inlineStr">
        <is>
          <t>SPD-2724 VoP Bulk Checker Iteration 1</t>
        </is>
      </c>
      <c r="D22" s="12">
        <f>SUMIFS(Detail!$G$4:$G$80,Detail!$A$4:$A$80,$A$2,Detail!$B$4:$B$80,$A22,Detail!$C$4:$C$80,$B22)</f>
        <v/>
      </c>
    </row>
    <row r="23">
      <c r="A23" s="18" t="n"/>
      <c r="B23" s="18" t="n"/>
      <c r="C23" s="19" t="inlineStr">
        <is>
          <t>TEAM TOTAL</t>
        </is>
      </c>
      <c r="D23" s="20">
        <f>SUM(D5:D22)</f>
        <v/>
      </c>
    </row>
    <row r="26">
      <c r="A26" s="6" t="inlineStr">
        <is>
          <t>Per engineer</t>
        </is>
      </c>
    </row>
    <row r="27">
      <c r="A27" s="9" t="inlineStr">
        <is>
          <t>Engineer</t>
        </is>
      </c>
      <c r="B27" s="9" t="inlineStr">
        <is>
          <t>WBSO hours</t>
        </is>
      </c>
      <c r="C27" s="9" t="inlineStr">
        <is>
          <t>Day equivalent</t>
        </is>
      </c>
      <c r="D27" s="9" t="inlineStr">
        <is>
          <t>Active days</t>
        </is>
      </c>
      <c r="E27" s="9" t="inlineStr">
        <is>
          <t>Capacity hours</t>
        </is>
      </c>
      <c r="F27" s="9" t="inlineStr">
        <is>
          <t>WBSO share</t>
        </is>
      </c>
      <c r="G27" s="9" t="inlineStr">
        <is>
          <t>Peak tickets/day</t>
        </is>
      </c>
    </row>
    <row r="28">
      <c r="A28" s="10" t="inlineStr">
        <is>
          <t>Gerard Veldman</t>
        </is>
      </c>
      <c r="B28" s="12">
        <f>SUMIFS(Detail!$G$4:$G$80,Detail!$A$4:$A$80,$A$2,Detail!$B$4:$B$80,$A28)</f>
        <v/>
      </c>
      <c r="C28" s="12">
        <f>IFERROR($B28/Assumptions!$B$5,0)</f>
        <v/>
      </c>
      <c r="D28" s="11" t="n">
        <v>21</v>
      </c>
      <c r="E28" s="12">
        <f>$D28*Assumptions!$B$5</f>
        <v/>
      </c>
      <c r="F28" s="13">
        <f>IFERROR($B28/$E28,0)</f>
        <v/>
      </c>
      <c r="G28" s="11" t="inlineStr">
        <is>
          <t>4 on 18 Mar</t>
        </is>
      </c>
    </row>
    <row r="29">
      <c r="A29" s="10" t="inlineStr">
        <is>
          <t>Diego Silva</t>
        </is>
      </c>
      <c r="B29" s="12">
        <f>SUMIFS(Detail!$G$4:$G$80,Detail!$A$4:$A$80,$A$2,Detail!$B$4:$B$80,$A29)</f>
        <v/>
      </c>
      <c r="C29" s="12">
        <f>IFERROR($B29/Assumptions!$B$5,0)</f>
        <v/>
      </c>
      <c r="D29" s="11" t="n">
        <v>22</v>
      </c>
      <c r="E29" s="12">
        <f>$D29*Assumptions!$B$5</f>
        <v/>
      </c>
      <c r="F29" s="13">
        <f>IFERROR($B29/$E29,0)</f>
        <v/>
      </c>
      <c r="G29" s="11" t="inlineStr">
        <is>
          <t>9 on 07 Mar</t>
        </is>
      </c>
    </row>
    <row r="30">
      <c r="A30" s="10" t="inlineStr">
        <is>
          <t>Manali Shah</t>
        </is>
      </c>
      <c r="B30" s="12">
        <f>SUMIFS(Detail!$G$4:$G$80,Detail!$A$4:$A$80,$A$2,Detail!$B$4:$B$80,$A30)</f>
        <v/>
      </c>
      <c r="C30" s="12">
        <f>IFERROR($B30/Assumptions!$B$5,0)</f>
        <v/>
      </c>
      <c r="D30" s="11" t="n">
        <v>22</v>
      </c>
      <c r="E30" s="12">
        <f>$D30*Assumptions!$B$5</f>
        <v/>
      </c>
      <c r="F30" s="13">
        <f>IFERROR($B30/$E30,0)</f>
        <v/>
      </c>
      <c r="G30" s="11" t="inlineStr">
        <is>
          <t>3 on 04 Mar</t>
        </is>
      </c>
    </row>
    <row r="31">
      <c r="A31" s="10" t="inlineStr">
        <is>
          <t>Sridhar Gnanasekaran</t>
        </is>
      </c>
      <c r="B31" s="12">
        <f>SUMIFS(Detail!$G$4:$G$80,Detail!$A$4:$A$80,$A$2,Detail!$B$4:$B$80,$A31)</f>
        <v/>
      </c>
      <c r="C31" s="12">
        <f>IFERROR($B31/Assumptions!$B$5,0)</f>
        <v/>
      </c>
      <c r="D31" s="11" t="n">
        <v>19</v>
      </c>
      <c r="E31" s="12">
        <f>$D31*Assumptions!$B$5</f>
        <v/>
      </c>
      <c r="F31" s="13">
        <f>IFERROR($B31/$E31,0)</f>
        <v/>
      </c>
      <c r="G31" s="11" t="inlineStr">
        <is>
          <t>2 on 14 Mar</t>
        </is>
      </c>
    </row>
    <row r="32">
      <c r="A32" s="10" t="inlineStr">
        <is>
          <t>Elisabeth Gie</t>
        </is>
      </c>
      <c r="B32" s="12">
        <f>SUMIFS(Detail!$G$4:$G$80,Detail!$A$4:$A$80,$A$2,Detail!$B$4:$B$80,$A32)</f>
        <v/>
      </c>
      <c r="C32" s="12">
        <f>IFERROR($B32/Assumptions!$B$5,0)</f>
        <v/>
      </c>
      <c r="D32" s="11" t="n">
        <v>13</v>
      </c>
      <c r="E32" s="12">
        <f>$D32*Assumptions!$B$5</f>
        <v/>
      </c>
      <c r="F32" s="13">
        <f>IFERROR($B32/$E32,0)</f>
        <v/>
      </c>
      <c r="G32" s="11" t="inlineStr">
        <is>
          <t>1 on 14 Mar</t>
        </is>
      </c>
    </row>
    <row r="33">
      <c r="A33" s="10" t="inlineStr">
        <is>
          <t>Juanma Tastzian</t>
        </is>
      </c>
      <c r="B33" s="12">
        <f>SUMIFS(Detail!$G$4:$G$80,Detail!$A$4:$A$80,$A$2,Detail!$B$4:$B$80,$A33)</f>
        <v/>
      </c>
      <c r="C33" s="12">
        <f>IFERROR($B33/Assumptions!$B$5,0)</f>
        <v/>
      </c>
      <c r="D33" s="11" t="n">
        <v>16</v>
      </c>
      <c r="E33" s="12">
        <f>$D33*Assumptions!$B$5</f>
        <v/>
      </c>
      <c r="F33" s="13">
        <f>IFERROR($B33/$E33,0)</f>
        <v/>
      </c>
      <c r="G33" s="11" t="inlineStr">
        <is>
          <t>2 on 03 Mar</t>
        </is>
      </c>
    </row>
    <row r="34">
      <c r="A34" s="10" t="inlineStr">
        <is>
          <t>Ina Nichitean</t>
        </is>
      </c>
      <c r="B34" s="12">
        <f>SUMIFS(Detail!$G$4:$G$80,Detail!$A$4:$A$80,$A$2,Detail!$B$4:$B$80,$A34)</f>
        <v/>
      </c>
      <c r="C34" s="12">
        <f>IFERROR($B34/Assumptions!$B$5,0)</f>
        <v/>
      </c>
      <c r="D34" s="11" t="n">
        <v>9</v>
      </c>
      <c r="E34" s="12">
        <f>$D34*Assumptions!$B$5</f>
        <v/>
      </c>
      <c r="F34" s="13">
        <f>IFERROR($B34/$E34,0)</f>
        <v/>
      </c>
      <c r="G34" s="11" t="inlineStr">
        <is>
          <t>2 on 28 Mar</t>
        </is>
      </c>
    </row>
    <row r="35">
      <c r="A35" s="10" t="inlineStr">
        <is>
          <t>Chaitanya Sagi</t>
        </is>
      </c>
      <c r="B35" s="12">
        <f>SUMIFS(Detail!$G$4:$G$80,Detail!$A$4:$A$80,$A$2,Detail!$B$4:$B$80,$A35)</f>
        <v/>
      </c>
      <c r="C35" s="12">
        <f>IFERROR($B35/Assumptions!$B$5,0)</f>
        <v/>
      </c>
      <c r="D35" s="11" t="n">
        <v>12</v>
      </c>
      <c r="E35" s="12">
        <f>$D35*Assumptions!$B$5</f>
        <v/>
      </c>
      <c r="F35" s="13">
        <f>IFERROR($B35/$E35,0)</f>
        <v/>
      </c>
      <c r="G35" s="11" t="inlineStr">
        <is>
          <t>3 on 27 Mar</t>
        </is>
      </c>
    </row>
    <row r="36">
      <c r="A36" s="10" t="inlineStr">
        <is>
          <t>Keerthi Shankar</t>
        </is>
      </c>
      <c r="B36" s="12">
        <f>SUMIFS(Detail!$G$4:$G$80,Detail!$A$4:$A$80,$A$2,Detail!$B$4:$B$80,$A36)</f>
        <v/>
      </c>
      <c r="C36" s="12">
        <f>IFERROR($B36/Assumptions!$B$5,0)</f>
        <v/>
      </c>
      <c r="D36" s="11" t="n">
        <v>5</v>
      </c>
      <c r="E36" s="12">
        <f>$D36*Assumptions!$B$5</f>
        <v/>
      </c>
      <c r="F36" s="13">
        <f>IFERROR($B36/$E36,0)</f>
        <v/>
      </c>
      <c r="G36" s="11" t="inlineStr">
        <is>
          <t>3 on 31 Mar</t>
        </is>
      </c>
    </row>
    <row r="37">
      <c r="A37" s="3" t="inlineStr">
        <is>
          <t>TOTAL</t>
        </is>
      </c>
      <c r="B37" s="16">
        <f>SUM(B28:B36)</f>
        <v/>
      </c>
      <c r="C37" s="16">
        <f>SUM(C28:C36)</f>
        <v/>
      </c>
      <c r="D37" s="16">
        <f>SUM(D28:D36)</f>
        <v/>
      </c>
      <c r="E37" s="16">
        <f>SUM(E28:E36)</f>
        <v/>
      </c>
      <c r="F37" s="17">
        <f>IFERROR($B37/$E37,0)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Samba — WBSO hours, 2025-03</t>
        </is>
      </c>
    </row>
    <row r="2">
      <c r="A2" s="5" t="inlineStr">
        <is>
          <t>Team Samba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Ioannis Argyroulis</t>
        </is>
      </c>
      <c r="B5" s="10" t="inlineStr">
        <is>
          <t>SDO-5021</t>
        </is>
      </c>
      <c r="C5" s="10" t="inlineStr">
        <is>
          <t xml:space="preserve">SDO-5021 Service Improvements </t>
        </is>
      </c>
      <c r="D5" s="12">
        <f>SUMIFS(Detail!$G$4:$G$80,Detail!$A$4:$A$80,$A$2,Detail!$B$4:$B$80,$A5,Detail!$C$4:$C$80,$B5)</f>
        <v/>
      </c>
    </row>
    <row r="6">
      <c r="A6" s="10" t="inlineStr">
        <is>
          <t>Ioannis Argyroulis</t>
        </is>
      </c>
      <c r="B6" s="10" t="inlineStr">
        <is>
          <t>SDO-6876</t>
        </is>
      </c>
      <c r="C6" s="10" t="inlineStr">
        <is>
          <t>SDO-6876 VoP Gateway solution</t>
        </is>
      </c>
      <c r="D6" s="12">
        <f>SUMIFS(Detail!$G$4:$G$80,Detail!$A$4:$A$80,$A$2,Detail!$B$4:$B$80,$A6,Detail!$C$4:$C$80,$B6)</f>
        <v/>
      </c>
    </row>
    <row r="7">
      <c r="A7" s="10" t="inlineStr">
        <is>
          <t>Ioannis Argyroulis</t>
        </is>
      </c>
      <c r="B7" s="10" t="inlineStr">
        <is>
          <t>SDO-7209</t>
        </is>
      </c>
      <c r="C7" s="10" t="inlineStr">
        <is>
          <t xml:space="preserve">SDO-7209 VoP Data Provisioning </t>
        </is>
      </c>
      <c r="D7" s="12">
        <f>SUMIFS(Detail!$G$4:$G$80,Detail!$A$4:$A$80,$A$2,Detail!$B$4:$B$80,$A7,Detail!$C$4:$C$80,$B7)</f>
        <v/>
      </c>
    </row>
    <row r="8">
      <c r="A8" s="10" t="inlineStr">
        <is>
          <t>Orwa Badran</t>
        </is>
      </c>
      <c r="B8" s="10" t="inlineStr">
        <is>
          <t>SDO-6876</t>
        </is>
      </c>
      <c r="C8" s="10" t="inlineStr">
        <is>
          <t>SDO-6876 VoP Gateway solution</t>
        </is>
      </c>
      <c r="D8" s="12">
        <f>SUMIFS(Detail!$G$4:$G$80,Detail!$A$4:$A$80,$A$2,Detail!$B$4:$B$80,$A8,Detail!$C$4:$C$80,$B8)</f>
        <v/>
      </c>
    </row>
    <row r="9">
      <c r="A9" s="10" t="inlineStr">
        <is>
          <t>Orwa Badran</t>
        </is>
      </c>
      <c r="B9" s="10" t="inlineStr">
        <is>
          <t>SDO-7209</t>
        </is>
      </c>
      <c r="C9" s="10" t="inlineStr">
        <is>
          <t xml:space="preserve">SDO-7209 VoP Data Provisioning </t>
        </is>
      </c>
      <c r="D9" s="12">
        <f>SUMIFS(Detail!$G$4:$G$80,Detail!$A$4:$A$80,$A$2,Detail!$B$4:$B$80,$A9,Detail!$C$4:$C$80,$B9)</f>
        <v/>
      </c>
    </row>
    <row r="10">
      <c r="A10" s="10" t="inlineStr">
        <is>
          <t>Rachel Guzman V</t>
        </is>
      </c>
      <c r="B10" s="10" t="inlineStr">
        <is>
          <t>SDO-6876</t>
        </is>
      </c>
      <c r="C10" s="10" t="inlineStr">
        <is>
          <t>SDO-6876 VoP Gateway solution</t>
        </is>
      </c>
      <c r="D10" s="12">
        <f>SUMIFS(Detail!$G$4:$G$80,Detail!$A$4:$A$80,$A$2,Detail!$B$4:$B$80,$A10,Detail!$C$4:$C$80,$B10)</f>
        <v/>
      </c>
    </row>
    <row r="11">
      <c r="A11" s="10" t="inlineStr">
        <is>
          <t>Sandhya Pai</t>
        </is>
      </c>
      <c r="B11" s="10" t="inlineStr">
        <is>
          <t>SDO-6876</t>
        </is>
      </c>
      <c r="C11" s="10" t="inlineStr">
        <is>
          <t>SDO-6876 VoP Gateway solution</t>
        </is>
      </c>
      <c r="D11" s="12">
        <f>SUMIFS(Detail!$G$4:$G$80,Detail!$A$4:$A$80,$A$2,Detail!$B$4:$B$80,$A11,Detail!$C$4:$C$80,$B11)</f>
        <v/>
      </c>
    </row>
    <row r="12">
      <c r="A12" s="10" t="inlineStr">
        <is>
          <t>Sandhya Pai</t>
        </is>
      </c>
      <c r="B12" s="10" t="inlineStr">
        <is>
          <t>SDO-7438</t>
        </is>
      </c>
      <c r="C12" s="10" t="inlineStr">
        <is>
          <t>SDO-7438 VOP Gateway - Enhancements</t>
        </is>
      </c>
      <c r="D12" s="12">
        <f>SUMIFS(Detail!$G$4:$G$80,Detail!$A$4:$A$80,$A$2,Detail!$B$4:$B$80,$A12,Detail!$C$4:$C$80,$B12)</f>
        <v/>
      </c>
    </row>
    <row r="13">
      <c r="A13" s="10" t="inlineStr">
        <is>
          <t>Sheik Farzand Razi</t>
        </is>
      </c>
      <c r="B13" s="10" t="inlineStr">
        <is>
          <t>SDO-5021</t>
        </is>
      </c>
      <c r="C13" s="10" t="inlineStr">
        <is>
          <t xml:space="preserve">SDO-5021 Service Improvements </t>
        </is>
      </c>
      <c r="D13" s="12">
        <f>SUMIFS(Detail!$G$4:$G$80,Detail!$A$4:$A$80,$A$2,Detail!$B$4:$B$80,$A13,Detail!$C$4:$C$80,$B13)</f>
        <v/>
      </c>
    </row>
    <row r="14">
      <c r="A14" s="10" t="inlineStr">
        <is>
          <t>Sheik Farzand Razi</t>
        </is>
      </c>
      <c r="B14" s="10" t="inlineStr">
        <is>
          <t>SDO-6876</t>
        </is>
      </c>
      <c r="C14" s="10" t="inlineStr">
        <is>
          <t>SDO-6876 VoP Gateway solution</t>
        </is>
      </c>
      <c r="D14" s="12">
        <f>SUMIFS(Detail!$G$4:$G$80,Detail!$A$4:$A$80,$A$2,Detail!$B$4:$B$80,$A14,Detail!$C$4:$C$80,$B14)</f>
        <v/>
      </c>
    </row>
    <row r="15">
      <c r="A15" s="10" t="inlineStr">
        <is>
          <t>Ismail Kuyu</t>
        </is>
      </c>
      <c r="B15" s="10" t="inlineStr">
        <is>
          <t>SDO-4324</t>
        </is>
      </c>
      <c r="C15" s="10" t="inlineStr">
        <is>
          <t>SDO-4324 SWIFT Outbound/Inbound</t>
        </is>
      </c>
      <c r="D15" s="12">
        <f>SUMIFS(Detail!$G$4:$G$80,Detail!$A$4:$A$80,$A$2,Detail!$B$4:$B$80,$A15,Detail!$C$4:$C$80,$B15)</f>
        <v/>
      </c>
    </row>
    <row r="16">
      <c r="A16" s="10" t="inlineStr">
        <is>
          <t>Ismail Kuyu</t>
        </is>
      </c>
      <c r="B16" s="10" t="inlineStr">
        <is>
          <t>SDO-6876</t>
        </is>
      </c>
      <c r="C16" s="10" t="inlineStr">
        <is>
          <t>SDO-6876 VoP Gateway solution</t>
        </is>
      </c>
      <c r="D16" s="12">
        <f>SUMIFS(Detail!$G$4:$G$80,Detail!$A$4:$A$80,$A$2,Detail!$B$4:$B$80,$A16,Detail!$C$4:$C$80,$B16)</f>
        <v/>
      </c>
    </row>
    <row r="17">
      <c r="A17" s="10" t="inlineStr">
        <is>
          <t>Ismail Kuyu</t>
        </is>
      </c>
      <c r="B17" s="10" t="inlineStr">
        <is>
          <t>SDO-7144</t>
        </is>
      </c>
      <c r="C17" s="10" t="inlineStr">
        <is>
          <t>SDO-7144 VoP Bank API extended</t>
        </is>
      </c>
      <c r="D17" s="12">
        <f>SUMIFS(Detail!$G$4:$G$80,Detail!$A$4:$A$80,$A$2,Detail!$B$4:$B$80,$A17,Detail!$C$4:$C$80,$B17)</f>
        <v/>
      </c>
    </row>
    <row r="18">
      <c r="A18" s="10" t="inlineStr">
        <is>
          <t>Jay Pavlenko</t>
        </is>
      </c>
      <c r="B18" s="10" t="inlineStr">
        <is>
          <t>SDO-6876</t>
        </is>
      </c>
      <c r="C18" s="10" t="inlineStr">
        <is>
          <t>SDO-6876 VoP Gateway solution</t>
        </is>
      </c>
      <c r="D18" s="12">
        <f>SUMIFS(Detail!$G$4:$G$80,Detail!$A$4:$A$80,$A$2,Detail!$B$4:$B$80,$A18,Detail!$C$4:$C$80,$B18)</f>
        <v/>
      </c>
    </row>
    <row r="19">
      <c r="A19" s="10" t="inlineStr">
        <is>
          <t>Muhammad Sulaiman</t>
        </is>
      </c>
      <c r="B19" s="10" t="inlineStr">
        <is>
          <t>SDO-6876</t>
        </is>
      </c>
      <c r="C19" s="10" t="inlineStr">
        <is>
          <t>SDO-6876 VoP Gateway solution</t>
        </is>
      </c>
      <c r="D19" s="12">
        <f>SUMIFS(Detail!$G$4:$G$80,Detail!$A$4:$A$80,$A$2,Detail!$B$4:$B$80,$A19,Detail!$C$4:$C$80,$B19)</f>
        <v/>
      </c>
    </row>
    <row r="20">
      <c r="A20" s="18" t="n"/>
      <c r="B20" s="18" t="n"/>
      <c r="C20" s="19" t="inlineStr">
        <is>
          <t>TEAM TOTAL</t>
        </is>
      </c>
      <c r="D20" s="20">
        <f>SUM(D5:D19)</f>
        <v/>
      </c>
    </row>
    <row r="23">
      <c r="A23" s="6" t="inlineStr">
        <is>
          <t>Per engineer</t>
        </is>
      </c>
    </row>
    <row r="24">
      <c r="A24" s="9" t="inlineStr">
        <is>
          <t>Engineer</t>
        </is>
      </c>
      <c r="B24" s="9" t="inlineStr">
        <is>
          <t>WBSO hours</t>
        </is>
      </c>
      <c r="C24" s="9" t="inlineStr">
        <is>
          <t>Day equivalent</t>
        </is>
      </c>
      <c r="D24" s="9" t="inlineStr">
        <is>
          <t>Active days</t>
        </is>
      </c>
      <c r="E24" s="9" t="inlineStr">
        <is>
          <t>Capacity hours</t>
        </is>
      </c>
      <c r="F24" s="9" t="inlineStr">
        <is>
          <t>WBSO share</t>
        </is>
      </c>
      <c r="G24" s="9" t="inlineStr">
        <is>
          <t>Peak tickets/day</t>
        </is>
      </c>
    </row>
    <row r="25">
      <c r="A25" s="10" t="inlineStr">
        <is>
          <t>Ioannis Argyroulis</t>
        </is>
      </c>
      <c r="B25" s="12">
        <f>SUMIFS(Detail!$G$4:$G$80,Detail!$A$4:$A$80,$A$2,Detail!$B$4:$B$80,$A25)</f>
        <v/>
      </c>
      <c r="C25" s="12">
        <f>IFERROR($B25/Assumptions!$B$5,0)</f>
        <v/>
      </c>
      <c r="D25" s="11" t="n">
        <v>22</v>
      </c>
      <c r="E25" s="12">
        <f>$D25*Assumptions!$B$5</f>
        <v/>
      </c>
      <c r="F25" s="13">
        <f>IFERROR($B25/$E25,0)</f>
        <v/>
      </c>
      <c r="G25" s="11" t="inlineStr">
        <is>
          <t>5 on 27 Mar</t>
        </is>
      </c>
    </row>
    <row r="26">
      <c r="A26" s="10" t="inlineStr">
        <is>
          <t>Orwa Badran</t>
        </is>
      </c>
      <c r="B26" s="12">
        <f>SUMIFS(Detail!$G$4:$G$80,Detail!$A$4:$A$80,$A$2,Detail!$B$4:$B$80,$A26)</f>
        <v/>
      </c>
      <c r="C26" s="12">
        <f>IFERROR($B26/Assumptions!$B$5,0)</f>
        <v/>
      </c>
      <c r="D26" s="11" t="n">
        <v>22</v>
      </c>
      <c r="E26" s="12">
        <f>$D26*Assumptions!$B$5</f>
        <v/>
      </c>
      <c r="F26" s="13">
        <f>IFERROR($B26/$E26,0)</f>
        <v/>
      </c>
      <c r="G26" s="11" t="inlineStr">
        <is>
          <t>6 on 20 Mar</t>
        </is>
      </c>
    </row>
    <row r="27">
      <c r="A27" s="10" t="inlineStr">
        <is>
          <t>Rachel Guzman V</t>
        </is>
      </c>
      <c r="B27" s="12">
        <f>SUMIFS(Detail!$G$4:$G$80,Detail!$A$4:$A$80,$A$2,Detail!$B$4:$B$80,$A27)</f>
        <v/>
      </c>
      <c r="C27" s="12">
        <f>IFERROR($B27/Assumptions!$B$5,0)</f>
        <v/>
      </c>
      <c r="D27" s="11" t="n">
        <v>16</v>
      </c>
      <c r="E27" s="12">
        <f>$D27*Assumptions!$B$5</f>
        <v/>
      </c>
      <c r="F27" s="13">
        <f>IFERROR($B27/$E27,0)</f>
        <v/>
      </c>
      <c r="G27" s="11" t="inlineStr">
        <is>
          <t>1 on 11 Mar</t>
        </is>
      </c>
    </row>
    <row r="28">
      <c r="A28" s="10" t="inlineStr">
        <is>
          <t>Sandhya Pai</t>
        </is>
      </c>
      <c r="B28" s="12">
        <f>SUMIFS(Detail!$G$4:$G$80,Detail!$A$4:$A$80,$A$2,Detail!$B$4:$B$80,$A28)</f>
        <v/>
      </c>
      <c r="C28" s="12">
        <f>IFERROR($B28/Assumptions!$B$5,0)</f>
        <v/>
      </c>
      <c r="D28" s="11" t="n">
        <v>22</v>
      </c>
      <c r="E28" s="12">
        <f>$D28*Assumptions!$B$5</f>
        <v/>
      </c>
      <c r="F28" s="13">
        <f>IFERROR($B28/$E28,0)</f>
        <v/>
      </c>
      <c r="G28" s="11" t="inlineStr">
        <is>
          <t>4 on 12 Mar</t>
        </is>
      </c>
    </row>
    <row r="29">
      <c r="A29" s="10" t="inlineStr">
        <is>
          <t>Sheik Farzand Razi</t>
        </is>
      </c>
      <c r="B29" s="12">
        <f>SUMIFS(Detail!$G$4:$G$80,Detail!$A$4:$A$80,$A$2,Detail!$B$4:$B$80,$A29)</f>
        <v/>
      </c>
      <c r="C29" s="12">
        <f>IFERROR($B29/Assumptions!$B$5,0)</f>
        <v/>
      </c>
      <c r="D29" s="11" t="n">
        <v>17</v>
      </c>
      <c r="E29" s="12">
        <f>$D29*Assumptions!$B$5</f>
        <v/>
      </c>
      <c r="F29" s="13">
        <f>IFERROR($B29/$E29,0)</f>
        <v/>
      </c>
      <c r="G29" s="11" t="inlineStr">
        <is>
          <t>4 on 18 Mar</t>
        </is>
      </c>
    </row>
    <row r="30">
      <c r="A30" s="10" t="inlineStr">
        <is>
          <t>Ismail Kuyu</t>
        </is>
      </c>
      <c r="B30" s="12">
        <f>SUMIFS(Detail!$G$4:$G$80,Detail!$A$4:$A$80,$A$2,Detail!$B$4:$B$80,$A30)</f>
        <v/>
      </c>
      <c r="C30" s="12">
        <f>IFERROR($B30/Assumptions!$B$5,0)</f>
        <v/>
      </c>
      <c r="D30" s="11" t="n">
        <v>22</v>
      </c>
      <c r="E30" s="12">
        <f>$D30*Assumptions!$B$5</f>
        <v/>
      </c>
      <c r="F30" s="13">
        <f>IFERROR($B30/$E30,0)</f>
        <v/>
      </c>
      <c r="G30" s="11" t="inlineStr">
        <is>
          <t>4 on 31 Mar</t>
        </is>
      </c>
    </row>
    <row r="31">
      <c r="A31" s="10" t="inlineStr">
        <is>
          <t>Jay Pavlenko</t>
        </is>
      </c>
      <c r="B31" s="12">
        <f>SUMIFS(Detail!$G$4:$G$80,Detail!$A$4:$A$80,$A$2,Detail!$B$4:$B$80,$A31)</f>
        <v/>
      </c>
      <c r="C31" s="12">
        <f>IFERROR($B31/Assumptions!$B$5,0)</f>
        <v/>
      </c>
      <c r="D31" s="11" t="n">
        <v>22</v>
      </c>
      <c r="E31" s="12">
        <f>$D31*Assumptions!$B$5</f>
        <v/>
      </c>
      <c r="F31" s="13">
        <f>IFERROR($B31/$E31,0)</f>
        <v/>
      </c>
      <c r="G31" s="11" t="inlineStr">
        <is>
          <t>3 on 10 Mar</t>
        </is>
      </c>
    </row>
    <row r="32">
      <c r="A32" s="10" t="inlineStr">
        <is>
          <t>Muhammad Sulaiman</t>
        </is>
      </c>
      <c r="B32" s="12">
        <f>SUMIFS(Detail!$G$4:$G$80,Detail!$A$4:$A$80,$A$2,Detail!$B$4:$B$80,$A32)</f>
        <v/>
      </c>
      <c r="C32" s="12">
        <f>IFERROR($B32/Assumptions!$B$5,0)</f>
        <v/>
      </c>
      <c r="D32" s="11" t="n">
        <v>21</v>
      </c>
      <c r="E32" s="12">
        <f>$D32*Assumptions!$B$5</f>
        <v/>
      </c>
      <c r="F32" s="13">
        <f>IFERROR($B32/$E32,0)</f>
        <v/>
      </c>
      <c r="G32" s="11" t="inlineStr">
        <is>
          <t>5 on 14 Mar</t>
        </is>
      </c>
    </row>
    <row r="33">
      <c r="A33" s="3" t="inlineStr">
        <is>
          <t>TOTAL</t>
        </is>
      </c>
      <c r="B33" s="16">
        <f>SUM(B25:B32)</f>
        <v/>
      </c>
      <c r="C33" s="16">
        <f>SUM(C25:C32)</f>
        <v/>
      </c>
      <c r="D33" s="16">
        <f>SUM(D25:D32)</f>
        <v/>
      </c>
      <c r="E33" s="16">
        <f>SUM(E25:E32)</f>
        <v/>
      </c>
      <c r="F33" s="17">
        <f>IFERROR($B33/$E33,0)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YODA — WBSO hours, 2025-03</t>
        </is>
      </c>
    </row>
    <row r="2">
      <c r="A2" s="5" t="inlineStr">
        <is>
          <t>YODA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Mark Moorcroft</t>
        </is>
      </c>
      <c r="B5" s="10" t="inlineStr">
        <is>
          <t>YODA-1338</t>
        </is>
      </c>
      <c r="C5" s="10" t="inlineStr">
        <is>
          <t>YODA-1338 Auditing &amp; Dashboard POCs</t>
        </is>
      </c>
      <c r="D5" s="12">
        <f>SUMIFS(Detail!$G$4:$G$80,Detail!$A$4:$A$80,$A$2,Detail!$B$4:$B$80,$A5,Detail!$C$4:$C$80,$B5)</f>
        <v/>
      </c>
    </row>
    <row r="6">
      <c r="A6" s="10" t="inlineStr">
        <is>
          <t>Richard Oliver</t>
        </is>
      </c>
      <c r="B6" s="10" t="inlineStr">
        <is>
          <t>YODA-1338</t>
        </is>
      </c>
      <c r="C6" s="10" t="inlineStr">
        <is>
          <t>YODA-1338 Auditing &amp; Dashboard POCs</t>
        </is>
      </c>
      <c r="D6" s="12">
        <f>SUMIFS(Detail!$G$4:$G$80,Detail!$A$4:$A$80,$A$2,Detail!$B$4:$B$80,$A6,Detail!$C$4:$C$80,$B6)</f>
        <v/>
      </c>
    </row>
    <row r="7">
      <c r="A7" s="10" t="inlineStr">
        <is>
          <t>Keerthi Shankar</t>
        </is>
      </c>
      <c r="B7" s="10" t="inlineStr">
        <is>
          <t>YODA-1338</t>
        </is>
      </c>
      <c r="C7" s="10" t="inlineStr">
        <is>
          <t>YODA-1338 Auditing &amp; Dashboard POCs</t>
        </is>
      </c>
      <c r="D7" s="12">
        <f>SUMIFS(Detail!$G$4:$G$80,Detail!$A$4:$A$80,$A$2,Detail!$B$4:$B$80,$A7,Detail!$C$4:$C$80,$B7)</f>
        <v/>
      </c>
    </row>
    <row r="8">
      <c r="A8" s="10" t="inlineStr">
        <is>
          <t>Ramseshu Ghanta</t>
        </is>
      </c>
      <c r="B8" s="10" t="inlineStr">
        <is>
          <t>YODA-1046</t>
        </is>
      </c>
      <c r="C8" s="10" t="inlineStr">
        <is>
          <t>YODA-1046 OPA - JPM V1</t>
        </is>
      </c>
      <c r="D8" s="12">
        <f>SUMIFS(Detail!$G$4:$G$80,Detail!$A$4:$A$80,$A$2,Detail!$B$4:$B$80,$A8,Detail!$C$4:$C$80,$B8)</f>
        <v/>
      </c>
    </row>
    <row r="9">
      <c r="A9" s="18" t="n"/>
      <c r="B9" s="18" t="n"/>
      <c r="C9" s="19" t="inlineStr">
        <is>
          <t>TEAM TOTAL</t>
        </is>
      </c>
      <c r="D9" s="20">
        <f>SUM(D5:D8)</f>
        <v/>
      </c>
    </row>
    <row r="12">
      <c r="A12" s="6" t="inlineStr">
        <is>
          <t>Per engineer</t>
        </is>
      </c>
    </row>
    <row r="13">
      <c r="A13" s="9" t="inlineStr">
        <is>
          <t>Engineer</t>
        </is>
      </c>
      <c r="B13" s="9" t="inlineStr">
        <is>
          <t>WBSO hours</t>
        </is>
      </c>
      <c r="C13" s="9" t="inlineStr">
        <is>
          <t>Day equivalent</t>
        </is>
      </c>
      <c r="D13" s="9" t="inlineStr">
        <is>
          <t>Active days</t>
        </is>
      </c>
      <c r="E13" s="9" t="inlineStr">
        <is>
          <t>Capacity hours</t>
        </is>
      </c>
      <c r="F13" s="9" t="inlineStr">
        <is>
          <t>WBSO share</t>
        </is>
      </c>
      <c r="G13" s="9" t="inlineStr">
        <is>
          <t>Peak tickets/day</t>
        </is>
      </c>
    </row>
    <row r="14">
      <c r="A14" s="10" t="inlineStr">
        <is>
          <t>Mark Moorcroft</t>
        </is>
      </c>
      <c r="B14" s="12">
        <f>SUMIFS(Detail!$G$4:$G$80,Detail!$A$4:$A$80,$A$2,Detail!$B$4:$B$80,$A14)</f>
        <v/>
      </c>
      <c r="C14" s="12">
        <f>IFERROR($B14/Assumptions!$B$5,0)</f>
        <v/>
      </c>
      <c r="D14" s="11" t="n">
        <v>22</v>
      </c>
      <c r="E14" s="12">
        <f>$D14*Assumptions!$B$5</f>
        <v/>
      </c>
      <c r="F14" s="13">
        <f>IFERROR($B14/$E14,0)</f>
        <v/>
      </c>
      <c r="G14" s="11" t="inlineStr">
        <is>
          <t>5 on 06 Mar</t>
        </is>
      </c>
    </row>
    <row r="15">
      <c r="A15" s="10" t="inlineStr">
        <is>
          <t>Richard Oliver</t>
        </is>
      </c>
      <c r="B15" s="12">
        <f>SUMIFS(Detail!$G$4:$G$80,Detail!$A$4:$A$80,$A$2,Detail!$B$4:$B$80,$A15)</f>
        <v/>
      </c>
      <c r="C15" s="12">
        <f>IFERROR($B15/Assumptions!$B$5,0)</f>
        <v/>
      </c>
      <c r="D15" s="11" t="n">
        <v>12</v>
      </c>
      <c r="E15" s="12">
        <f>$D15*Assumptions!$B$5</f>
        <v/>
      </c>
      <c r="F15" s="13">
        <f>IFERROR($B15/$E15,0)</f>
        <v/>
      </c>
      <c r="G15" s="11" t="inlineStr">
        <is>
          <t>2 on 28 Mar</t>
        </is>
      </c>
    </row>
    <row r="16">
      <c r="A16" s="10" t="inlineStr">
        <is>
          <t>Keerthi Shankar</t>
        </is>
      </c>
      <c r="B16" s="12">
        <f>SUMIFS(Detail!$G$4:$G$80,Detail!$A$4:$A$80,$A$2,Detail!$B$4:$B$80,$A16)</f>
        <v/>
      </c>
      <c r="C16" s="12">
        <f>IFERROR($B16/Assumptions!$B$5,0)</f>
        <v/>
      </c>
      <c r="D16" s="11" t="n">
        <v>16</v>
      </c>
      <c r="E16" s="12">
        <f>$D16*Assumptions!$B$5</f>
        <v/>
      </c>
      <c r="F16" s="13">
        <f>IFERROR($B16/$E16,0)</f>
        <v/>
      </c>
      <c r="G16" s="11" t="inlineStr">
        <is>
          <t>8 on 06 Mar</t>
        </is>
      </c>
    </row>
    <row r="17">
      <c r="A17" s="10" t="inlineStr">
        <is>
          <t>Ramseshu Ghanta</t>
        </is>
      </c>
      <c r="B17" s="12">
        <f>SUMIFS(Detail!$G$4:$G$80,Detail!$A$4:$A$80,$A$2,Detail!$B$4:$B$80,$A17)</f>
        <v/>
      </c>
      <c r="C17" s="12">
        <f>IFERROR($B17/Assumptions!$B$5,0)</f>
        <v/>
      </c>
      <c r="D17" s="11" t="n">
        <v>14</v>
      </c>
      <c r="E17" s="12">
        <f>$D17*Assumptions!$B$5</f>
        <v/>
      </c>
      <c r="F17" s="13">
        <f>IFERROR($B17/$E17,0)</f>
        <v/>
      </c>
      <c r="G17" s="11" t="inlineStr">
        <is>
          <t>2 on 31 Mar</t>
        </is>
      </c>
    </row>
    <row r="18">
      <c r="A18" s="3" t="inlineStr">
        <is>
          <t>TOTAL</t>
        </is>
      </c>
      <c r="B18" s="16">
        <f>SUM(B14:B17)</f>
        <v/>
      </c>
      <c r="C18" s="16">
        <f>SUM(C14:C17)</f>
        <v/>
      </c>
      <c r="D18" s="16">
        <f>SUM(D14:D17)</f>
        <v/>
      </c>
      <c r="E18" s="16">
        <f>SUM(E14:E17)</f>
        <v/>
      </c>
      <c r="F18" s="17">
        <f>IFERROR($B18/$E18,0)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34" customWidth="1" min="4" max="4"/>
    <col width="14" customWidth="1" min="5" max="5"/>
    <col width="46" customWidth="1" min="6" max="6"/>
    <col width="10" customWidth="1" min="7" max="7"/>
  </cols>
  <sheetData>
    <row r="1">
      <c r="A1" s="1" t="inlineStr">
        <is>
          <t>Per-ticket WBSO hours across every team (input data from Jira)</t>
        </is>
      </c>
    </row>
    <row r="3">
      <c r="A3" s="9" t="inlineStr">
        <is>
          <t>Team</t>
        </is>
      </c>
      <c r="B3" s="9" t="inlineStr">
        <is>
          <t>Engineer</t>
        </is>
      </c>
      <c r="C3" s="9" t="inlineStr">
        <is>
          <t>Epic key</t>
        </is>
      </c>
      <c r="D3" s="9" t="inlineStr">
        <is>
          <t>Epic</t>
        </is>
      </c>
      <c r="E3" s="9" t="inlineStr">
        <is>
          <t>Ticket</t>
        </is>
      </c>
      <c r="F3" s="9" t="inlineStr">
        <is>
          <t>Ticket summary</t>
        </is>
      </c>
      <c r="G3" s="9" t="inlineStr">
        <is>
          <t>Hours</t>
        </is>
      </c>
    </row>
    <row r="4">
      <c r="A4" s="10" t="inlineStr">
        <is>
          <t>Pastel de Portal Team</t>
        </is>
      </c>
      <c r="B4" s="10" t="inlineStr">
        <is>
          <t>Joost Vos</t>
        </is>
      </c>
      <c r="C4" s="10" t="inlineStr">
        <is>
          <t>PT-22</t>
        </is>
      </c>
      <c r="D4" s="10" t="inlineStr">
        <is>
          <t>PT-22 VOP Single Check</t>
        </is>
      </c>
      <c r="E4" s="10" t="inlineStr">
        <is>
          <t>PT-23</t>
        </is>
      </c>
      <c r="F4" s="10" t="inlineStr">
        <is>
          <t>Redesign VOP Messages</t>
        </is>
      </c>
      <c r="G4" s="22" t="n">
        <v>32.8</v>
      </c>
    </row>
    <row r="5">
      <c r="A5" s="10" t="inlineStr">
        <is>
          <t>Team Ikigai</t>
        </is>
      </c>
      <c r="B5" s="10" t="inlineStr">
        <is>
          <t>Gerard Veldman</t>
        </is>
      </c>
      <c r="C5" s="10" t="inlineStr">
        <is>
          <t>SPD-2716</t>
        </is>
      </c>
      <c r="D5" s="10" t="inlineStr">
        <is>
          <t>SPD-2716 VoP Data Hosting Interation 1</t>
        </is>
      </c>
      <c r="E5" s="10" t="inlineStr">
        <is>
          <t>SPD-2802</t>
        </is>
      </c>
      <c r="F5" s="10" t="inlineStr">
        <is>
          <t>mvn release is broken on master</t>
        </is>
      </c>
      <c r="G5" s="22" t="n">
        <v>34.6667</v>
      </c>
    </row>
    <row r="6">
      <c r="A6" s="10" t="inlineStr">
        <is>
          <t>Team Ikigai</t>
        </is>
      </c>
      <c r="B6" s="10" t="inlineStr">
        <is>
          <t>Gerard Veldman</t>
        </is>
      </c>
      <c r="C6" s="10" t="inlineStr">
        <is>
          <t>SPD-2716</t>
        </is>
      </c>
      <c r="D6" s="10" t="inlineStr">
        <is>
          <t>SPD-2716 VoP Data Hosting Interation 1</t>
        </is>
      </c>
      <c r="E6" s="10" t="inlineStr">
        <is>
          <t>SPD-2859</t>
        </is>
      </c>
      <c r="F6" s="10" t="inlineStr">
        <is>
          <t>Investigate the proper way to handle SQS even</t>
        </is>
      </c>
      <c r="G6" s="22" t="n">
        <v>28.6667</v>
      </c>
    </row>
    <row r="7">
      <c r="A7" s="10" t="inlineStr">
        <is>
          <t>Team Ikigai</t>
        </is>
      </c>
      <c r="B7" s="10" t="inlineStr">
        <is>
          <t>Gerard Veldman</t>
        </is>
      </c>
      <c r="C7" s="10" t="inlineStr">
        <is>
          <t>SPD-2716</t>
        </is>
      </c>
      <c r="D7" s="10" t="inlineStr">
        <is>
          <t>SPD-2716 VoP Data Hosting Interation 1</t>
        </is>
      </c>
      <c r="E7" s="10" t="inlineStr">
        <is>
          <t>SPD-2881</t>
        </is>
      </c>
      <c r="F7" s="10" t="inlineStr">
        <is>
          <t>Ingesting a large (20M records) file does not</t>
        </is>
      </c>
      <c r="G7" s="22" t="n">
        <v>8</v>
      </c>
    </row>
    <row r="8">
      <c r="A8" s="10" t="inlineStr">
        <is>
          <t>Team Ikigai</t>
        </is>
      </c>
      <c r="B8" s="10" t="inlineStr">
        <is>
          <t>Gerard Veldman</t>
        </is>
      </c>
      <c r="C8" s="10" t="inlineStr">
        <is>
          <t>SPD-2716</t>
        </is>
      </c>
      <c r="D8" s="10" t="inlineStr">
        <is>
          <t>SPD-2716 VoP Data Hosting Interation 1</t>
        </is>
      </c>
      <c r="E8" s="10" t="inlineStr">
        <is>
          <t>SPD-2907</t>
        </is>
      </c>
      <c r="F8" s="10" t="inlineStr">
        <is>
          <t>Make sure old indices are cleaned up on opens</t>
        </is>
      </c>
      <c r="G8" s="22" t="n">
        <v>6.6667</v>
      </c>
    </row>
    <row r="9">
      <c r="A9" s="10" t="inlineStr">
        <is>
          <t>Team Ikigai</t>
        </is>
      </c>
      <c r="B9" s="10" t="inlineStr">
        <is>
          <t>Gerard Veldman</t>
        </is>
      </c>
      <c r="C9" s="10" t="inlineStr">
        <is>
          <t>SPD-2716</t>
        </is>
      </c>
      <c r="D9" s="10" t="inlineStr">
        <is>
          <t>SPD-2716 VoP Data Hosting Interation 1</t>
        </is>
      </c>
      <c r="E9" s="10" t="inlineStr">
        <is>
          <t>SPD-2783</t>
        </is>
      </c>
      <c r="F9" s="10" t="inlineStr">
        <is>
          <t>Create Jenkins pipeline for ACC/PRD</t>
        </is>
      </c>
      <c r="G9" s="22" t="n">
        <v>2.6667</v>
      </c>
    </row>
    <row r="10">
      <c r="A10" s="10" t="inlineStr">
        <is>
          <t>Team Ikigai</t>
        </is>
      </c>
      <c r="B10" s="10" t="inlineStr">
        <is>
          <t>Gerard Veldman</t>
        </is>
      </c>
      <c r="C10" s="10" t="inlineStr">
        <is>
          <t>SPD-2716</t>
        </is>
      </c>
      <c r="D10" s="10" t="inlineStr">
        <is>
          <t>SPD-2716 VoP Data Hosting Interation 1</t>
        </is>
      </c>
      <c r="E10" s="10" t="inlineStr">
        <is>
          <t>SPD-2815</t>
        </is>
      </c>
      <c r="F10" s="10" t="inlineStr">
        <is>
          <t>Create Opensearch Accounts Cluster in ACC/PRD</t>
        </is>
      </c>
      <c r="G10" s="22" t="n">
        <v>2.6667</v>
      </c>
    </row>
    <row r="11">
      <c r="A11" s="10" t="inlineStr">
        <is>
          <t>Team Ikigai</t>
        </is>
      </c>
      <c r="B11" s="10" t="inlineStr">
        <is>
          <t>Gerard Veldman</t>
        </is>
      </c>
      <c r="C11" s="10" t="inlineStr">
        <is>
          <t>SPD-2724</t>
        </is>
      </c>
      <c r="D11" s="10" t="inlineStr">
        <is>
          <t>SPD-2724 VoP Bulk Checker Iteration 1</t>
        </is>
      </c>
      <c r="E11" s="10" t="inlineStr">
        <is>
          <t>SPD-2952</t>
        </is>
      </c>
      <c r="F11" s="10" t="inlineStr">
        <is>
          <t>Download file from S3</t>
        </is>
      </c>
      <c r="G11" s="22" t="n">
        <v>14.6667</v>
      </c>
    </row>
    <row r="12">
      <c r="A12" s="10" t="inlineStr">
        <is>
          <t>Team Ikigai</t>
        </is>
      </c>
      <c r="B12" s="10" t="inlineStr">
        <is>
          <t>Gerard Veldman</t>
        </is>
      </c>
      <c r="C12" s="10" t="inlineStr">
        <is>
          <t>SPD-2749</t>
        </is>
      </c>
      <c r="D12" s="10" t="inlineStr">
        <is>
          <t>SPD-2749 VoP Data Hosting Ingester v1</t>
        </is>
      </c>
      <c r="E12" s="10" t="inlineStr">
        <is>
          <t>SPD-2908</t>
        </is>
      </c>
      <c r="F12" s="10" t="inlineStr">
        <is>
          <t>Resilience / Catch exceptions at top level an</t>
        </is>
      </c>
      <c r="G12" s="22" t="n">
        <v>37.3333</v>
      </c>
    </row>
    <row r="13">
      <c r="A13" s="10" t="inlineStr">
        <is>
          <t>Team Ikigai</t>
        </is>
      </c>
      <c r="B13" s="10" t="inlineStr">
        <is>
          <t>Gerard Veldman</t>
        </is>
      </c>
      <c r="C13" s="10" t="inlineStr">
        <is>
          <t>SPD-2749</t>
        </is>
      </c>
      <c r="D13" s="10" t="inlineStr">
        <is>
          <t>SPD-2749 VoP Data Hosting Ingester v1</t>
        </is>
      </c>
      <c r="E13" s="10" t="inlineStr">
        <is>
          <t>SPD-2877</t>
        </is>
      </c>
      <c r="F13" s="10" t="inlineStr">
        <is>
          <t>Resilience / Robustness for the Ingester: Rec</t>
        </is>
      </c>
      <c r="G13" s="22" t="n">
        <v>20.6667</v>
      </c>
    </row>
    <row r="14">
      <c r="A14" s="10" t="inlineStr">
        <is>
          <t>Team Ikigai</t>
        </is>
      </c>
      <c r="B14" s="10" t="inlineStr">
        <is>
          <t>Gerard Veldman</t>
        </is>
      </c>
      <c r="C14" s="10" t="inlineStr">
        <is>
          <t>SPD-2749</t>
        </is>
      </c>
      <c r="D14" s="10" t="inlineStr">
        <is>
          <t>SPD-2749 VoP Data Hosting Ingester v1</t>
        </is>
      </c>
      <c r="E14" s="10" t="inlineStr">
        <is>
          <t>SPD-2821</t>
        </is>
      </c>
      <c r="F14" s="10" t="inlineStr">
        <is>
          <t>Take PSP settings from metadata index</t>
        </is>
      </c>
      <c r="G14" s="22" t="n">
        <v>8</v>
      </c>
    </row>
    <row r="15">
      <c r="A15" s="10" t="inlineStr">
        <is>
          <t>Team Ikigai</t>
        </is>
      </c>
      <c r="B15" s="10" t="inlineStr">
        <is>
          <t>Gerard Veldman</t>
        </is>
      </c>
      <c r="C15" s="10" t="inlineStr">
        <is>
          <t>SPD-2749</t>
        </is>
      </c>
      <c r="D15" s="10" t="inlineStr">
        <is>
          <t>SPD-2749 VoP Data Hosting Ingester v1</t>
        </is>
      </c>
      <c r="E15" s="10" t="inlineStr">
        <is>
          <t>SPD-2818</t>
        </is>
      </c>
      <c r="F15" s="10" t="inlineStr">
        <is>
          <t>Resilience / robustness for the Ingester: Dow</t>
        </is>
      </c>
      <c r="G15" s="22" t="n">
        <v>2</v>
      </c>
    </row>
    <row r="16">
      <c r="A16" s="10" t="inlineStr">
        <is>
          <t>Team Ikigai</t>
        </is>
      </c>
      <c r="B16" s="10" t="inlineStr">
        <is>
          <t>Gerard Veldman</t>
        </is>
      </c>
      <c r="C16" s="10" t="inlineStr">
        <is>
          <t>SPD-2749</t>
        </is>
      </c>
      <c r="D16" s="10" t="inlineStr">
        <is>
          <t>SPD-2749 VoP Data Hosting Ingester v1</t>
        </is>
      </c>
      <c r="E16" s="10" t="inlineStr">
        <is>
          <t>SPD-2819</t>
        </is>
      </c>
      <c r="F16" s="10" t="inlineStr">
        <is>
          <t>Resilience / robustness for the Ingester: Clu</t>
        </is>
      </c>
      <c r="G16" s="22" t="n">
        <v>2</v>
      </c>
    </row>
    <row r="17">
      <c r="A17" s="10" t="inlineStr">
        <is>
          <t>Team Ikigai</t>
        </is>
      </c>
      <c r="B17" s="10" t="inlineStr">
        <is>
          <t>Diego Silva</t>
        </is>
      </c>
      <c r="C17" s="10" t="inlineStr">
        <is>
          <t>SPD-2716</t>
        </is>
      </c>
      <c r="D17" s="10" t="inlineStr">
        <is>
          <t>SPD-2716 VoP Data Hosting Interation 1</t>
        </is>
      </c>
      <c r="E17" s="10" t="inlineStr">
        <is>
          <t>SPD-2837</t>
        </is>
      </c>
      <c r="F17" s="10" t="inlineStr">
        <is>
          <t>Tighten security for the infrastructure</t>
        </is>
      </c>
      <c r="G17" s="22" t="n">
        <v>42.9651</v>
      </c>
    </row>
    <row r="18">
      <c r="A18" s="10" t="inlineStr">
        <is>
          <t>Team Ikigai</t>
        </is>
      </c>
      <c r="B18" s="10" t="inlineStr">
        <is>
          <t>Diego Silva</t>
        </is>
      </c>
      <c r="C18" s="10" t="inlineStr">
        <is>
          <t>SPD-2716</t>
        </is>
      </c>
      <c r="D18" s="10" t="inlineStr">
        <is>
          <t>SPD-2716 VoP Data Hosting Interation 1</t>
        </is>
      </c>
      <c r="E18" s="10" t="inlineStr">
        <is>
          <t>SPD-2851</t>
        </is>
      </c>
      <c r="F18" s="10" t="inlineStr">
        <is>
          <t>Adjust minHealthPercentage and maxHealthPerce</t>
        </is>
      </c>
      <c r="G18" s="22" t="n">
        <v>30.6984</v>
      </c>
    </row>
    <row r="19">
      <c r="A19" s="10" t="inlineStr">
        <is>
          <t>Team Ikigai</t>
        </is>
      </c>
      <c r="B19" s="10" t="inlineStr">
        <is>
          <t>Diego Silva</t>
        </is>
      </c>
      <c r="C19" s="10" t="inlineStr">
        <is>
          <t>SPD-2716</t>
        </is>
      </c>
      <c r="D19" s="10" t="inlineStr">
        <is>
          <t>SPD-2716 VoP Data Hosting Interation 1</t>
        </is>
      </c>
      <c r="E19" s="10" t="inlineStr">
        <is>
          <t>SPD-2941</t>
        </is>
      </c>
      <c r="F19" s="10" t="inlineStr">
        <is>
          <t>Create KMS library</t>
        </is>
      </c>
      <c r="G19" s="22" t="n">
        <v>12.9333</v>
      </c>
    </row>
    <row r="20">
      <c r="A20" s="10" t="inlineStr">
        <is>
          <t>Team Ikigai</t>
        </is>
      </c>
      <c r="B20" s="10" t="inlineStr">
        <is>
          <t>Diego Silva</t>
        </is>
      </c>
      <c r="C20" s="10" t="inlineStr">
        <is>
          <t>SPD-2716</t>
        </is>
      </c>
      <c r="D20" s="10" t="inlineStr">
        <is>
          <t>SPD-2716 VoP Data Hosting Interation 1</t>
        </is>
      </c>
      <c r="E20" s="10" t="inlineStr">
        <is>
          <t>SPD-2940</t>
        </is>
      </c>
      <c r="F20" s="10" t="inlineStr">
        <is>
          <t>Create Event Library</t>
        </is>
      </c>
      <c r="G20" s="22" t="n">
        <v>6</v>
      </c>
    </row>
    <row r="21">
      <c r="A21" s="10" t="inlineStr">
        <is>
          <t>Team Ikigai</t>
        </is>
      </c>
      <c r="B21" s="10" t="inlineStr">
        <is>
          <t>Diego Silva</t>
        </is>
      </c>
      <c r="C21" s="10" t="inlineStr">
        <is>
          <t>SPD-2749</t>
        </is>
      </c>
      <c r="D21" s="10" t="inlineStr">
        <is>
          <t>SPD-2749 VoP Data Hosting Ingester v1</t>
        </is>
      </c>
      <c r="E21" s="10" t="inlineStr">
        <is>
          <t>SPD-2828</t>
        </is>
      </c>
      <c r="F21" s="10" t="inlineStr">
        <is>
          <t xml:space="preserve">ECS Cluster Documentation </t>
        </is>
      </c>
      <c r="G21" s="22" t="n">
        <v>50.2984</v>
      </c>
    </row>
    <row r="22">
      <c r="A22" s="10" t="inlineStr">
        <is>
          <t>Team Ikigai</t>
        </is>
      </c>
      <c r="B22" s="10" t="inlineStr">
        <is>
          <t>Diego Silva</t>
        </is>
      </c>
      <c r="C22" s="10" t="inlineStr">
        <is>
          <t>SPD-2749</t>
        </is>
      </c>
      <c r="D22" s="10" t="inlineStr">
        <is>
          <t>SPD-2749 VoP Data Hosting Ingester v1</t>
        </is>
      </c>
      <c r="E22" s="10" t="inlineStr">
        <is>
          <t>SPD-2925</t>
        </is>
      </c>
      <c r="F22" s="10" t="inlineStr">
        <is>
          <t>Update the task role of ingestor to allow SES</t>
        </is>
      </c>
      <c r="G22" s="22" t="n">
        <v>12.9333</v>
      </c>
    </row>
    <row r="23">
      <c r="A23" s="10" t="inlineStr">
        <is>
          <t>Team Ikigai</t>
        </is>
      </c>
      <c r="B23" s="10" t="inlineStr">
        <is>
          <t>Diego Silva</t>
        </is>
      </c>
      <c r="C23" s="10" t="inlineStr">
        <is>
          <t>SPD-2749</t>
        </is>
      </c>
      <c r="D23" s="10" t="inlineStr">
        <is>
          <t>SPD-2749 VoP Data Hosting Ingester v1</t>
        </is>
      </c>
      <c r="E23" s="10" t="inlineStr">
        <is>
          <t>SPD-2929</t>
        </is>
      </c>
      <c r="F23" s="10" t="inlineStr">
        <is>
          <t>Add required environment variables to allow P</t>
        </is>
      </c>
      <c r="G23" s="22" t="n">
        <v>5.6</v>
      </c>
    </row>
    <row r="24">
      <c r="A24" s="10" t="inlineStr">
        <is>
          <t>Team Ikigai</t>
        </is>
      </c>
      <c r="B24" s="10" t="inlineStr">
        <is>
          <t>Diego Silva</t>
        </is>
      </c>
      <c r="C24" s="10" t="inlineStr">
        <is>
          <t>SPD-2749</t>
        </is>
      </c>
      <c r="D24" s="10" t="inlineStr">
        <is>
          <t>SPD-2749 VoP Data Hosting Ingester v1</t>
        </is>
      </c>
      <c r="E24" s="10" t="inlineStr">
        <is>
          <t>SPD-2776</t>
        </is>
      </c>
      <c r="F24" s="10" t="inlineStr">
        <is>
          <t>Create ECS Ingester cluster</t>
        </is>
      </c>
      <c r="G24" s="22" t="n">
        <v>2.6667</v>
      </c>
    </row>
    <row r="25">
      <c r="A25" s="10" t="inlineStr">
        <is>
          <t>Team Ikigai</t>
        </is>
      </c>
      <c r="B25" s="10" t="inlineStr">
        <is>
          <t>Manali Shah</t>
        </is>
      </c>
      <c r="C25" s="10" t="inlineStr">
        <is>
          <t>SPD-2716</t>
        </is>
      </c>
      <c r="D25" s="10" t="inlineStr">
        <is>
          <t>SPD-2716 VoP Data Hosting Interation 1</t>
        </is>
      </c>
      <c r="E25" s="10" t="inlineStr">
        <is>
          <t>SPD-2871</t>
        </is>
      </c>
      <c r="F25" s="10" t="inlineStr">
        <is>
          <t>Harmonise bankIdentifier everywhere</t>
        </is>
      </c>
      <c r="G25" s="22" t="n">
        <v>68</v>
      </c>
    </row>
    <row r="26">
      <c r="A26" s="10" t="inlineStr">
        <is>
          <t>Team Ikigai</t>
        </is>
      </c>
      <c r="B26" s="10" t="inlineStr">
        <is>
          <t>Manali Shah</t>
        </is>
      </c>
      <c r="C26" s="10" t="inlineStr">
        <is>
          <t>SPD-2749</t>
        </is>
      </c>
      <c r="D26" s="10" t="inlineStr">
        <is>
          <t>SPD-2749 VoP Data Hosting Ingester v1</t>
        </is>
      </c>
      <c r="E26" s="10" t="inlineStr">
        <is>
          <t>SPD-2768</t>
        </is>
      </c>
      <c r="F26" s="10" t="inlineStr">
        <is>
          <t>Create the reporting and feedback of the file</t>
        </is>
      </c>
      <c r="G26" s="22" t="n">
        <v>73.33329999999999</v>
      </c>
    </row>
    <row r="27">
      <c r="A27" s="10" t="inlineStr">
        <is>
          <t>Team Ikigai</t>
        </is>
      </c>
      <c r="B27" s="10" t="inlineStr">
        <is>
          <t>Manali Shah</t>
        </is>
      </c>
      <c r="C27" s="10" t="inlineStr">
        <is>
          <t>SPD-2749</t>
        </is>
      </c>
      <c r="D27" s="10" t="inlineStr">
        <is>
          <t>SPD-2749 VoP Data Hosting Ingester v1</t>
        </is>
      </c>
      <c r="E27" s="10" t="inlineStr">
        <is>
          <t>SPD-2752</t>
        </is>
      </c>
      <c r="F27" s="10" t="inlineStr">
        <is>
          <t>Create file validation for VoP Data Ingester</t>
        </is>
      </c>
      <c r="G27" s="22" t="n">
        <v>17.3333</v>
      </c>
    </row>
    <row r="28">
      <c r="A28" s="10" t="inlineStr">
        <is>
          <t>Team Ikigai</t>
        </is>
      </c>
      <c r="B28" s="10" t="inlineStr">
        <is>
          <t>Manali Shah</t>
        </is>
      </c>
      <c r="C28" s="10" t="inlineStr">
        <is>
          <t>SPD-2749</t>
        </is>
      </c>
      <c r="D28" s="10" t="inlineStr">
        <is>
          <t>SPD-2749 VoP Data Hosting Ingester v1</t>
        </is>
      </c>
      <c r="E28" s="10" t="inlineStr">
        <is>
          <t>SPD-2852</t>
        </is>
      </c>
      <c r="F28" s="10" t="inlineStr">
        <is>
          <t>Add debug statements in ingester app</t>
        </is>
      </c>
      <c r="G28" s="22" t="n">
        <v>2.6667</v>
      </c>
    </row>
    <row r="29">
      <c r="A29" s="10" t="inlineStr">
        <is>
          <t>Team Ikigai</t>
        </is>
      </c>
      <c r="B29" s="10" t="inlineStr">
        <is>
          <t>Sridhar Gnanasekaran</t>
        </is>
      </c>
      <c r="C29" s="10" t="inlineStr">
        <is>
          <t>SPD-2716</t>
        </is>
      </c>
      <c r="D29" s="10" t="inlineStr">
        <is>
          <t>SPD-2716 VoP Data Hosting Interation 1</t>
        </is>
      </c>
      <c r="E29" s="10" t="inlineStr">
        <is>
          <t>SPD-2881</t>
        </is>
      </c>
      <c r="F29" s="10" t="inlineStr">
        <is>
          <t>Ingesting a large (20M records) file does not</t>
        </is>
      </c>
      <c r="G29" s="22" t="n">
        <v>92</v>
      </c>
    </row>
    <row r="30">
      <c r="A30" s="10" t="inlineStr">
        <is>
          <t>Team Ikigai</t>
        </is>
      </c>
      <c r="B30" s="10" t="inlineStr">
        <is>
          <t>Sridhar Gnanasekaran</t>
        </is>
      </c>
      <c r="C30" s="10" t="inlineStr">
        <is>
          <t>SPD-2749</t>
        </is>
      </c>
      <c r="D30" s="10" t="inlineStr">
        <is>
          <t>SPD-2749 VoP Data Hosting Ingester v1</t>
        </is>
      </c>
      <c r="E30" s="10" t="inlineStr">
        <is>
          <t>SPD-2771</t>
        </is>
      </c>
      <c r="F30" s="10" t="inlineStr">
        <is>
          <t>Cleanup after file processing</t>
        </is>
      </c>
      <c r="G30" s="22" t="n">
        <v>60</v>
      </c>
    </row>
    <row r="31">
      <c r="A31" s="10" t="inlineStr">
        <is>
          <t>Team Ikigai</t>
        </is>
      </c>
      <c r="B31" s="10" t="inlineStr">
        <is>
          <t>Elisabeth Gie</t>
        </is>
      </c>
      <c r="C31" s="10" t="inlineStr">
        <is>
          <t>SPD-2749</t>
        </is>
      </c>
      <c r="D31" s="10" t="inlineStr">
        <is>
          <t>SPD-2749 VoP Data Hosting Ingester v1</t>
        </is>
      </c>
      <c r="E31" s="10" t="inlineStr">
        <is>
          <t>SPD-2847</t>
        </is>
      </c>
      <c r="F31" s="10" t="inlineStr">
        <is>
          <t>Change in specs for invalid accounts</t>
        </is>
      </c>
      <c r="G31" s="22" t="n">
        <v>104</v>
      </c>
    </row>
    <row r="32">
      <c r="A32" s="10" t="inlineStr">
        <is>
          <t>Team Ikigai</t>
        </is>
      </c>
      <c r="B32" s="10" t="inlineStr">
        <is>
          <t>Juanma Tastzian</t>
        </is>
      </c>
      <c r="C32" s="10" t="inlineStr">
        <is>
          <t>SPD-2716</t>
        </is>
      </c>
      <c r="D32" s="10" t="inlineStr">
        <is>
          <t>SPD-2716 VoP Data Hosting Interation 1</t>
        </is>
      </c>
      <c r="E32" s="10" t="inlineStr">
        <is>
          <t>SPD-2932</t>
        </is>
      </c>
      <c r="F32" s="10" t="inlineStr">
        <is>
          <t>Allow underscores in psp name in the file nam</t>
        </is>
      </c>
      <c r="G32" s="22" t="n">
        <v>36</v>
      </c>
    </row>
    <row r="33">
      <c r="A33" s="10" t="inlineStr">
        <is>
          <t>Team Ikigai</t>
        </is>
      </c>
      <c r="B33" s="10" t="inlineStr">
        <is>
          <t>Juanma Tastzian</t>
        </is>
      </c>
      <c r="C33" s="10" t="inlineStr">
        <is>
          <t>SPD-2716</t>
        </is>
      </c>
      <c r="D33" s="10" t="inlineStr">
        <is>
          <t>SPD-2716 VoP Data Hosting Interation 1</t>
        </is>
      </c>
      <c r="E33" s="10" t="inlineStr">
        <is>
          <t>SPD-2855</t>
        </is>
      </c>
      <c r="F33" s="10" t="inlineStr">
        <is>
          <t>Create Ingestion Client usage middleman</t>
        </is>
      </c>
      <c r="G33" s="22" t="n">
        <v>32</v>
      </c>
    </row>
    <row r="34">
      <c r="A34" s="10" t="inlineStr">
        <is>
          <t>Team Ikigai</t>
        </is>
      </c>
      <c r="B34" s="10" t="inlineStr">
        <is>
          <t>Juanma Tastzian</t>
        </is>
      </c>
      <c r="C34" s="10" t="inlineStr">
        <is>
          <t>SPD-2749</t>
        </is>
      </c>
      <c r="D34" s="10" t="inlineStr">
        <is>
          <t>SPD-2749 VoP Data Hosting Ingester v1</t>
        </is>
      </c>
      <c r="E34" s="10" t="inlineStr">
        <is>
          <t>SPD-2856</t>
        </is>
      </c>
      <c r="F34" s="10" t="inlineStr">
        <is>
          <t>Update data model according to new specificat</t>
        </is>
      </c>
      <c r="G34" s="22" t="n">
        <v>20</v>
      </c>
    </row>
    <row r="35">
      <c r="A35" s="10" t="inlineStr">
        <is>
          <t>Team Ikigai</t>
        </is>
      </c>
      <c r="B35" s="10" t="inlineStr">
        <is>
          <t>Juanma Tastzian</t>
        </is>
      </c>
      <c r="C35" s="10" t="inlineStr">
        <is>
          <t>SPD-2749</t>
        </is>
      </c>
      <c r="D35" s="10" t="inlineStr">
        <is>
          <t>SPD-2749 VoP Data Hosting Ingester v1</t>
        </is>
      </c>
      <c r="E35" s="10" t="inlineStr">
        <is>
          <t>SPD-2753</t>
        </is>
      </c>
      <c r="F35" s="10" t="inlineStr">
        <is>
          <t>Ingest file content in Accounts Cluster</t>
        </is>
      </c>
      <c r="G35" s="22" t="n">
        <v>8</v>
      </c>
    </row>
    <row r="36">
      <c r="A36" s="10" t="inlineStr">
        <is>
          <t>Team Ikigai</t>
        </is>
      </c>
      <c r="B36" s="10" t="inlineStr">
        <is>
          <t>Juanma Tastzian</t>
        </is>
      </c>
      <c r="C36" s="10" t="inlineStr">
        <is>
          <t>SPD-2749</t>
        </is>
      </c>
      <c r="D36" s="10" t="inlineStr">
        <is>
          <t>SPD-2749 VoP Data Hosting Ingester v1</t>
        </is>
      </c>
      <c r="E36" s="10" t="inlineStr">
        <is>
          <t>SPD-2796</t>
        </is>
      </c>
      <c r="F36" s="10" t="inlineStr">
        <is>
          <t>Add tests</t>
        </is>
      </c>
      <c r="G36" s="22" t="n">
        <v>8</v>
      </c>
    </row>
    <row r="37">
      <c r="A37" s="10" t="inlineStr">
        <is>
          <t>Team Ikigai</t>
        </is>
      </c>
      <c r="B37" s="10" t="inlineStr">
        <is>
          <t>Ina Nichitean</t>
        </is>
      </c>
      <c r="C37" s="10" t="inlineStr">
        <is>
          <t>SPD-2716</t>
        </is>
      </c>
      <c r="D37" s="10" t="inlineStr">
        <is>
          <t>SPD-2716 VoP Data Hosting Interation 1</t>
        </is>
      </c>
      <c r="E37" s="10" t="inlineStr">
        <is>
          <t>SPD-2903</t>
        </is>
      </c>
      <c r="F37" s="10" t="inlineStr">
        <is>
          <t>Make sure PGP errors are reported in report</t>
        </is>
      </c>
      <c r="G37" s="22" t="n">
        <v>44</v>
      </c>
    </row>
    <row r="38">
      <c r="A38" s="10" t="inlineStr">
        <is>
          <t>Team Ikigai</t>
        </is>
      </c>
      <c r="B38" s="10" t="inlineStr">
        <is>
          <t>Ina Nichitean</t>
        </is>
      </c>
      <c r="C38" s="10" t="inlineStr">
        <is>
          <t>SPD-2716</t>
        </is>
      </c>
      <c r="D38" s="10" t="inlineStr">
        <is>
          <t>SPD-2716 VoP Data Hosting Interation 1</t>
        </is>
      </c>
      <c r="E38" s="10" t="inlineStr">
        <is>
          <t>SPD-2849</t>
        </is>
      </c>
      <c r="F38" s="10" t="inlineStr">
        <is>
          <t>Understand how the AWS backup and restore wor</t>
        </is>
      </c>
      <c r="G38" s="22" t="n">
        <v>12</v>
      </c>
    </row>
    <row r="39">
      <c r="A39" s="10" t="inlineStr">
        <is>
          <t>Team Ikigai</t>
        </is>
      </c>
      <c r="B39" s="10" t="inlineStr">
        <is>
          <t>Ina Nichitean</t>
        </is>
      </c>
      <c r="C39" s="10" t="inlineStr">
        <is>
          <t>SPD-2716</t>
        </is>
      </c>
      <c r="D39" s="10" t="inlineStr">
        <is>
          <t>SPD-2716 VoP Data Hosting Interation 1</t>
        </is>
      </c>
      <c r="E39" s="10" t="inlineStr">
        <is>
          <t>SPD-2911</t>
        </is>
      </c>
      <c r="F39" s="10" t="inlineStr">
        <is>
          <t>Update documentation for the Onboarding pipel</t>
        </is>
      </c>
      <c r="G39" s="22" t="n">
        <v>8</v>
      </c>
    </row>
    <row r="40">
      <c r="A40" s="10" t="inlineStr">
        <is>
          <t>Team Ikigai</t>
        </is>
      </c>
      <c r="B40" s="10" t="inlineStr">
        <is>
          <t>Ina Nichitean</t>
        </is>
      </c>
      <c r="C40" s="10" t="inlineStr">
        <is>
          <t>SPD-3341</t>
        </is>
      </c>
      <c r="D40" s="10" t="inlineStr">
        <is>
          <t>SPD-3341 VoP Data Hosting</t>
        </is>
      </c>
      <c r="E40" s="10" t="inlineStr">
        <is>
          <t>SPD-2910</t>
        </is>
      </c>
      <c r="F40" s="10" t="inlineStr">
        <is>
          <t>Make config setup lambda deployment configura</t>
        </is>
      </c>
      <c r="G40" s="22" t="n">
        <v>8</v>
      </c>
    </row>
    <row r="41">
      <c r="A41" s="10" t="inlineStr">
        <is>
          <t>Team Ikigai</t>
        </is>
      </c>
      <c r="B41" s="10" t="inlineStr">
        <is>
          <t>Chaitanya Sagi</t>
        </is>
      </c>
      <c r="C41" s="10" t="inlineStr">
        <is>
          <t>SPD-2716</t>
        </is>
      </c>
      <c r="D41" s="10" t="inlineStr">
        <is>
          <t>SPD-2716 VoP Data Hosting Interation 1</t>
        </is>
      </c>
      <c r="E41" s="10" t="inlineStr">
        <is>
          <t>SPD-2878</t>
        </is>
      </c>
      <c r="F41" s="10" t="inlineStr">
        <is>
          <t>Create a separate stack for S3</t>
        </is>
      </c>
      <c r="G41" s="22" t="n">
        <v>28</v>
      </c>
    </row>
    <row r="42">
      <c r="A42" s="10" t="inlineStr">
        <is>
          <t>Team Ikigai</t>
        </is>
      </c>
      <c r="B42" s="10" t="inlineStr">
        <is>
          <t>Chaitanya Sagi</t>
        </is>
      </c>
      <c r="C42" s="10" t="inlineStr">
        <is>
          <t>SPD-2716</t>
        </is>
      </c>
      <c r="D42" s="10" t="inlineStr">
        <is>
          <t>SPD-2716 VoP Data Hosting Interation 1</t>
        </is>
      </c>
      <c r="E42" s="10" t="inlineStr">
        <is>
          <t>SPD-2844</t>
        </is>
      </c>
      <c r="F42" s="10" t="inlineStr">
        <is>
          <t>Move ecs to dataprovisioning VPC</t>
        </is>
      </c>
      <c r="G42" s="22" t="n">
        <v>8</v>
      </c>
    </row>
    <row r="43">
      <c r="A43" s="10" t="inlineStr">
        <is>
          <t>Team Ikigai</t>
        </is>
      </c>
      <c r="B43" s="10" t="inlineStr">
        <is>
          <t>Chaitanya Sagi</t>
        </is>
      </c>
      <c r="C43" s="10" t="inlineStr">
        <is>
          <t>SPD-2716</t>
        </is>
      </c>
      <c r="D43" s="10" t="inlineStr">
        <is>
          <t>SPD-2716 VoP Data Hosting Interation 1</t>
        </is>
      </c>
      <c r="E43" s="10" t="inlineStr">
        <is>
          <t>SPD-2923</t>
        </is>
      </c>
      <c r="F43" s="10" t="inlineStr">
        <is>
          <t xml:space="preserve">update config to use deep merge </t>
        </is>
      </c>
      <c r="G43" s="22" t="n">
        <v>8</v>
      </c>
    </row>
    <row r="44">
      <c r="A44" s="10" t="inlineStr">
        <is>
          <t>Team Ikigai</t>
        </is>
      </c>
      <c r="B44" s="10" t="inlineStr">
        <is>
          <t>Chaitanya Sagi</t>
        </is>
      </c>
      <c r="C44" s="10" t="inlineStr">
        <is>
          <t>SPD-2749</t>
        </is>
      </c>
      <c r="D44" s="10" t="inlineStr">
        <is>
          <t>SPD-2749 VoP Data Hosting Ingester v1</t>
        </is>
      </c>
      <c r="E44" s="10" t="inlineStr">
        <is>
          <t>SPD-2926</t>
        </is>
      </c>
      <c r="F44" s="10" t="inlineStr">
        <is>
          <t>setup the infra</t>
        </is>
      </c>
      <c r="G44" s="22" t="n">
        <v>20</v>
      </c>
    </row>
    <row r="45">
      <c r="A45" s="10" t="inlineStr">
        <is>
          <t>Team Ikigai</t>
        </is>
      </c>
      <c r="B45" s="10" t="inlineStr">
        <is>
          <t>Keerthi Shankar</t>
        </is>
      </c>
      <c r="C45" s="10" t="inlineStr">
        <is>
          <t>SPD-2716</t>
        </is>
      </c>
      <c r="D45" s="10" t="inlineStr">
        <is>
          <t>SPD-2716 VoP Data Hosting Interation 1</t>
        </is>
      </c>
      <c r="E45" s="10" t="inlineStr">
        <is>
          <t>SPD-2909</t>
        </is>
      </c>
      <c r="F45" s="10" t="inlineStr">
        <is>
          <t xml:space="preserve">Create an opensearch user for the opensearch </t>
        </is>
      </c>
      <c r="G45" s="22" t="n">
        <v>22.6667</v>
      </c>
    </row>
    <row r="46">
      <c r="A46" s="10" t="inlineStr">
        <is>
          <t>Team Ikigai</t>
        </is>
      </c>
      <c r="B46" s="10" t="inlineStr">
        <is>
          <t>Keerthi Shankar</t>
        </is>
      </c>
      <c r="C46" s="10" t="inlineStr">
        <is>
          <t>SPD-2716</t>
        </is>
      </c>
      <c r="D46" s="10" t="inlineStr">
        <is>
          <t>SPD-2716 VoP Data Hosting Interation 1</t>
        </is>
      </c>
      <c r="E46" s="10" t="inlineStr">
        <is>
          <t>SPD-2936</t>
        </is>
      </c>
      <c r="F46" s="10" t="inlineStr">
        <is>
          <t>create ecs library</t>
        </is>
      </c>
      <c r="G46" s="22" t="n">
        <v>8</v>
      </c>
    </row>
    <row r="47">
      <c r="A47" s="10" t="inlineStr">
        <is>
          <t>Team Ikigai</t>
        </is>
      </c>
      <c r="B47" s="10" t="inlineStr">
        <is>
          <t>Keerthi Shankar</t>
        </is>
      </c>
      <c r="C47" s="10" t="inlineStr">
        <is>
          <t>SPD-2716</t>
        </is>
      </c>
      <c r="D47" s="10" t="inlineStr">
        <is>
          <t>SPD-2716 VoP Data Hosting Interation 1</t>
        </is>
      </c>
      <c r="E47" s="10" t="inlineStr">
        <is>
          <t>SPD-2939</t>
        </is>
      </c>
      <c r="F47" s="10" t="inlineStr">
        <is>
          <t>create storage library</t>
        </is>
      </c>
      <c r="G47" s="22" t="n">
        <v>2.6667</v>
      </c>
    </row>
    <row r="48">
      <c r="A48" s="10" t="inlineStr">
        <is>
          <t>Team Ikigai</t>
        </is>
      </c>
      <c r="B48" s="10" t="inlineStr">
        <is>
          <t>Keerthi Shankar</t>
        </is>
      </c>
      <c r="C48" s="10" t="inlineStr">
        <is>
          <t>SPD-2724</t>
        </is>
      </c>
      <c r="D48" s="10" t="inlineStr">
        <is>
          <t>SPD-2724 VoP Bulk Checker Iteration 1</t>
        </is>
      </c>
      <c r="E48" s="10" t="inlineStr">
        <is>
          <t>SPD-2953</t>
        </is>
      </c>
      <c r="F48" s="10" t="inlineStr">
        <is>
          <t>Create infra to deploy api to ECS(with connec</t>
        </is>
      </c>
      <c r="G48" s="22" t="n">
        <v>6.6667</v>
      </c>
    </row>
    <row r="49">
      <c r="A49" s="10" t="inlineStr">
        <is>
          <t>Team Samba</t>
        </is>
      </c>
      <c r="B49" s="10" t="inlineStr">
        <is>
          <t>Ioannis Argyroulis</t>
        </is>
      </c>
      <c r="C49" s="10" t="inlineStr">
        <is>
          <t>SDO-5021</t>
        </is>
      </c>
      <c r="D49" s="10" t="inlineStr">
        <is>
          <t xml:space="preserve">SDO-5021 Service Improvements </t>
        </is>
      </c>
      <c r="E49" s="10" t="inlineStr">
        <is>
          <t>SDO-7295</t>
        </is>
      </c>
      <c r="F49" s="10" t="inlineStr">
        <is>
          <t>Fix outstanding data quality issues arising f</t>
        </is>
      </c>
      <c r="G49" s="22" t="n">
        <v>7.4667</v>
      </c>
    </row>
    <row r="50">
      <c r="A50" s="10" t="inlineStr">
        <is>
          <t>Team Samba</t>
        </is>
      </c>
      <c r="B50" s="10" t="inlineStr">
        <is>
          <t>Ioannis Argyroulis</t>
        </is>
      </c>
      <c r="C50" s="10" t="inlineStr">
        <is>
          <t>SDO-6876</t>
        </is>
      </c>
      <c r="D50" s="10" t="inlineStr">
        <is>
          <t>SDO-6876 VoP Gateway solution</t>
        </is>
      </c>
      <c r="E50" s="10" t="inlineStr">
        <is>
          <t>SDO-7192</t>
        </is>
      </c>
      <c r="F50" s="10" t="inlineStr">
        <is>
          <t xml:space="preserve">Update the dataprovisioning API response for </t>
        </is>
      </c>
      <c r="G50" s="22" t="n">
        <v>64.8</v>
      </c>
    </row>
    <row r="51">
      <c r="A51" s="10" t="inlineStr">
        <is>
          <t>Team Samba</t>
        </is>
      </c>
      <c r="B51" s="10" t="inlineStr">
        <is>
          <t>Ioannis Argyroulis</t>
        </is>
      </c>
      <c r="C51" s="10" t="inlineStr">
        <is>
          <t>SDO-7209</t>
        </is>
      </c>
      <c r="D51" s="10" t="inlineStr">
        <is>
          <t xml:space="preserve">SDO-7209 VoP Data Provisioning </t>
        </is>
      </c>
      <c r="E51" s="10" t="inlineStr">
        <is>
          <t>SDO-7237</t>
        </is>
      </c>
      <c r="F51" s="10" t="inlineStr">
        <is>
          <t xml:space="preserve">[VOP Gateway] Cleanup unnecessary data model </t>
        </is>
      </c>
      <c r="G51" s="22" t="n">
        <v>64.8</v>
      </c>
    </row>
    <row r="52">
      <c r="A52" s="10" t="inlineStr">
        <is>
          <t>Team Samba</t>
        </is>
      </c>
      <c r="B52" s="10" t="inlineStr">
        <is>
          <t>Ioannis Argyroulis</t>
        </is>
      </c>
      <c r="C52" s="10" t="inlineStr">
        <is>
          <t>SDO-7209</t>
        </is>
      </c>
      <c r="D52" s="10" t="inlineStr">
        <is>
          <t xml:space="preserve">SDO-7209 VoP Data Provisioning </t>
        </is>
      </c>
      <c r="E52" s="10" t="inlineStr">
        <is>
          <t>SDO-7232</t>
        </is>
      </c>
      <c r="F52" s="10" t="inlineStr">
        <is>
          <t>[P0.1 - VOP DP] Map new fields to VOP from Da</t>
        </is>
      </c>
      <c r="G52" s="22" t="n">
        <v>31.4667</v>
      </c>
    </row>
    <row r="53">
      <c r="A53" s="10" t="inlineStr">
        <is>
          <t>Team Samba</t>
        </is>
      </c>
      <c r="B53" s="10" t="inlineStr">
        <is>
          <t>Orwa Badran</t>
        </is>
      </c>
      <c r="C53" s="10" t="inlineStr">
        <is>
          <t>SDO-6876</t>
        </is>
      </c>
      <c r="D53" s="10" t="inlineStr">
        <is>
          <t>SDO-6876 VoP Gateway solution</t>
        </is>
      </c>
      <c r="E53" s="10" t="inlineStr">
        <is>
          <t>SDO-7238</t>
        </is>
      </c>
      <c r="F53" s="10" t="inlineStr">
        <is>
          <t>Cleanup Redundant Account Data model from org</t>
        </is>
      </c>
      <c r="G53" s="22" t="n">
        <v>41.8667</v>
      </c>
    </row>
    <row r="54">
      <c r="A54" s="10" t="inlineStr">
        <is>
          <t>Team Samba</t>
        </is>
      </c>
      <c r="B54" s="10" t="inlineStr">
        <is>
          <t>Orwa Badran</t>
        </is>
      </c>
      <c r="C54" s="10" t="inlineStr">
        <is>
          <t>SDO-6876</t>
        </is>
      </c>
      <c r="D54" s="10" t="inlineStr">
        <is>
          <t>SDO-6876 VoP Gateway solution</t>
        </is>
      </c>
      <c r="E54" s="10" t="inlineStr">
        <is>
          <t>SDO-7313</t>
        </is>
      </c>
      <c r="F54" s="10" t="inlineStr">
        <is>
          <t>Update ORG to consume 1st available legal nam</t>
        </is>
      </c>
      <c r="G54" s="22" t="n">
        <v>8.533300000000001</v>
      </c>
    </row>
    <row r="55">
      <c r="A55" s="10" t="inlineStr">
        <is>
          <t>Team Samba</t>
        </is>
      </c>
      <c r="B55" s="10" t="inlineStr">
        <is>
          <t>Orwa Badran</t>
        </is>
      </c>
      <c r="C55" s="10" t="inlineStr">
        <is>
          <t>SDO-6876</t>
        </is>
      </c>
      <c r="D55" s="10" t="inlineStr">
        <is>
          <t>SDO-6876 VoP Gateway solution</t>
        </is>
      </c>
      <c r="E55" s="10" t="inlineStr">
        <is>
          <t>SDO-7242</t>
        </is>
      </c>
      <c r="F55" s="10" t="inlineStr">
        <is>
          <t xml:space="preserve">[VOP Gateway YAML] Apply changes to the YAML </t>
        </is>
      </c>
      <c r="G55" s="22" t="n">
        <v>6.6667</v>
      </c>
    </row>
    <row r="56">
      <c r="A56" s="10" t="inlineStr">
        <is>
          <t>Team Samba</t>
        </is>
      </c>
      <c r="B56" s="10" t="inlineStr">
        <is>
          <t>Orwa Badran</t>
        </is>
      </c>
      <c r="C56" s="10" t="inlineStr">
        <is>
          <t>SDO-6876</t>
        </is>
      </c>
      <c r="D56" s="10" t="inlineStr">
        <is>
          <t>SDO-6876 VoP Gateway solution</t>
        </is>
      </c>
      <c r="E56" s="10" t="inlineStr">
        <is>
          <t>SDO-7245</t>
        </is>
      </c>
      <c r="F56" s="10" t="inlineStr">
        <is>
          <t xml:space="preserve">[VOP Gateway YAML] Apply changes to the YAML </t>
        </is>
      </c>
      <c r="G56" s="22" t="n">
        <v>2.6667</v>
      </c>
    </row>
    <row r="57">
      <c r="A57" s="10" t="inlineStr">
        <is>
          <t>Team Samba</t>
        </is>
      </c>
      <c r="B57" s="10" t="inlineStr">
        <is>
          <t>Orwa Badran</t>
        </is>
      </c>
      <c r="C57" s="10" t="inlineStr">
        <is>
          <t>SDO-7209</t>
        </is>
      </c>
      <c r="D57" s="10" t="inlineStr">
        <is>
          <t xml:space="preserve">SDO-7209 VoP Data Provisioning </t>
        </is>
      </c>
      <c r="E57" s="10" t="inlineStr">
        <is>
          <t>SDO-7234</t>
        </is>
      </c>
      <c r="F57" s="10" t="inlineStr">
        <is>
          <t xml:space="preserve">[P0.3 - VOP DP]Use/employ the new fields for </t>
        </is>
      </c>
      <c r="G57" s="22" t="n">
        <v>45.0667</v>
      </c>
    </row>
    <row r="58">
      <c r="A58" s="10" t="inlineStr">
        <is>
          <t>Team Samba</t>
        </is>
      </c>
      <c r="B58" s="10" t="inlineStr">
        <is>
          <t>Orwa Badran</t>
        </is>
      </c>
      <c r="C58" s="10" t="inlineStr">
        <is>
          <t>SDO-7209</t>
        </is>
      </c>
      <c r="D58" s="10" t="inlineStr">
        <is>
          <t xml:space="preserve">SDO-7209 VoP Data Provisioning </t>
        </is>
      </c>
      <c r="E58" s="10" t="inlineStr">
        <is>
          <t>SDO-7258</t>
        </is>
      </c>
      <c r="F58" s="10" t="inlineStr">
        <is>
          <t>[Data Provisioning API] Perform changes to th</t>
        </is>
      </c>
      <c r="G58" s="22" t="n">
        <v>14.4</v>
      </c>
    </row>
    <row r="59">
      <c r="A59" s="10" t="inlineStr">
        <is>
          <t>Team Samba</t>
        </is>
      </c>
      <c r="B59" s="10" t="inlineStr">
        <is>
          <t>Orwa Badran</t>
        </is>
      </c>
      <c r="C59" s="10" t="inlineStr">
        <is>
          <t>SDO-7209</t>
        </is>
      </c>
      <c r="D59" s="10" t="inlineStr">
        <is>
          <t xml:space="preserve">SDO-7209 VoP Data Provisioning </t>
        </is>
      </c>
      <c r="E59" s="10" t="inlineStr">
        <is>
          <t>SDO-7279</t>
        </is>
      </c>
      <c r="F59" s="10" t="inlineStr">
        <is>
          <t>[Data Provisioning API] Move the Online DP sp</t>
        </is>
      </c>
      <c r="G59" s="22" t="n">
        <v>11.7333</v>
      </c>
    </row>
    <row r="60">
      <c r="A60" s="10" t="inlineStr">
        <is>
          <t>Team Samba</t>
        </is>
      </c>
      <c r="B60" s="10" t="inlineStr">
        <is>
          <t>Rachel Guzman V</t>
        </is>
      </c>
      <c r="C60" s="10" t="inlineStr">
        <is>
          <t>SDO-6876</t>
        </is>
      </c>
      <c r="D60" s="10" t="inlineStr">
        <is>
          <t>SDO-6876 VoP Gateway solution</t>
        </is>
      </c>
      <c r="E60" s="10" t="inlineStr">
        <is>
          <t>SDO-7228</t>
        </is>
      </c>
      <c r="F60" s="10" t="inlineStr">
        <is>
          <t>[Investigation] How might we use the Accept-L</t>
        </is>
      </c>
      <c r="G60" s="22" t="n">
        <v>128</v>
      </c>
    </row>
    <row r="61">
      <c r="A61" s="10" t="inlineStr">
        <is>
          <t>Team Samba</t>
        </is>
      </c>
      <c r="B61" s="10" t="inlineStr">
        <is>
          <t>Sandhya Pai</t>
        </is>
      </c>
      <c r="C61" s="10" t="inlineStr">
        <is>
          <t>SDO-6876</t>
        </is>
      </c>
      <c r="D61" s="10" t="inlineStr">
        <is>
          <t>SDO-6876 VoP Gateway solution</t>
        </is>
      </c>
      <c r="E61" s="10" t="inlineStr">
        <is>
          <t>SDO-7203</t>
        </is>
      </c>
      <c r="F61" s="10" t="inlineStr">
        <is>
          <t>[VOP audit logs] Review audit logs created by</t>
        </is>
      </c>
      <c r="G61" s="22" t="n">
        <v>23.3333</v>
      </c>
    </row>
    <row r="62">
      <c r="A62" s="10" t="inlineStr">
        <is>
          <t>Team Samba</t>
        </is>
      </c>
      <c r="B62" s="10" t="inlineStr">
        <is>
          <t>Sandhya Pai</t>
        </is>
      </c>
      <c r="C62" s="10" t="inlineStr">
        <is>
          <t>SDO-6876</t>
        </is>
      </c>
      <c r="D62" s="10" t="inlineStr">
        <is>
          <t>SDO-6876 VoP Gateway solution</t>
        </is>
      </c>
      <c r="E62" s="10" t="inlineStr">
        <is>
          <t>SDO-7260</t>
        </is>
      </c>
      <c r="F62" s="10" t="inlineStr">
        <is>
          <t>[VOP Gateway] Apply changes from the Specific</t>
        </is>
      </c>
      <c r="G62" s="22" t="n">
        <v>22.6667</v>
      </c>
    </row>
    <row r="63">
      <c r="A63" s="10" t="inlineStr">
        <is>
          <t>Team Samba</t>
        </is>
      </c>
      <c r="B63" s="10" t="inlineStr">
        <is>
          <t>Sandhya Pai</t>
        </is>
      </c>
      <c r="C63" s="10" t="inlineStr">
        <is>
          <t>SDO-6876</t>
        </is>
      </c>
      <c r="D63" s="10" t="inlineStr">
        <is>
          <t>SDO-6876 VoP Gateway solution</t>
        </is>
      </c>
      <c r="E63" s="10" t="inlineStr">
        <is>
          <t>SDO-7184</t>
        </is>
      </c>
      <c r="F63" s="10" t="inlineStr">
        <is>
          <t>[Router] Encrypt VAS headers to prevent tampe</t>
        </is>
      </c>
      <c r="G63" s="22" t="n">
        <v>15.3333</v>
      </c>
    </row>
    <row r="64">
      <c r="A64" s="10" t="inlineStr">
        <is>
          <t>Team Samba</t>
        </is>
      </c>
      <c r="B64" s="10" t="inlineStr">
        <is>
          <t>Sandhya Pai</t>
        </is>
      </c>
      <c r="C64" s="10" t="inlineStr">
        <is>
          <t>SDO-7438</t>
        </is>
      </c>
      <c r="D64" s="10" t="inlineStr">
        <is>
          <t>SDO-7438 VOP Gateway - Enhancements</t>
        </is>
      </c>
      <c r="E64" s="10" t="inlineStr">
        <is>
          <t>SDO-7231</t>
        </is>
      </c>
      <c r="F64" s="10" t="inlineStr">
        <is>
          <t>[VoP Gateway- PRD] Create Apigee proxy for ne</t>
        </is>
      </c>
      <c r="G64" s="22" t="n">
        <v>55.3333</v>
      </c>
    </row>
    <row r="65">
      <c r="A65" s="10" t="inlineStr">
        <is>
          <t>Team Samba</t>
        </is>
      </c>
      <c r="B65" s="10" t="inlineStr">
        <is>
          <t>Sheik Farzand Razi</t>
        </is>
      </c>
      <c r="C65" s="10" t="inlineStr">
        <is>
          <t>SDO-5021</t>
        </is>
      </c>
      <c r="D65" s="10" t="inlineStr">
        <is>
          <t xml:space="preserve">SDO-5021 Service Improvements </t>
        </is>
      </c>
      <c r="E65" s="10" t="inlineStr">
        <is>
          <t>SDO-7281</t>
        </is>
      </c>
      <c r="F65" s="10" t="inlineStr">
        <is>
          <t>Make the snapshot interval in accounts cluste</t>
        </is>
      </c>
      <c r="G65" s="22" t="n">
        <v>16</v>
      </c>
    </row>
    <row r="66">
      <c r="A66" s="10" t="inlineStr">
        <is>
          <t>Team Samba</t>
        </is>
      </c>
      <c r="B66" s="10" t="inlineStr">
        <is>
          <t>Sheik Farzand Razi</t>
        </is>
      </c>
      <c r="C66" s="10" t="inlineStr">
        <is>
          <t>SDO-5021</t>
        </is>
      </c>
      <c r="D66" s="10" t="inlineStr">
        <is>
          <t xml:space="preserve">SDO-5021 Service Improvements </t>
        </is>
      </c>
      <c r="E66" s="10" t="inlineStr">
        <is>
          <t>SDO-7254</t>
        </is>
      </c>
      <c r="F66" s="10" t="inlineStr">
        <is>
          <t>Troubleshoot NNbank and Deutsche bank monthly</t>
        </is>
      </c>
      <c r="G66" s="22" t="n">
        <v>8</v>
      </c>
    </row>
    <row r="67">
      <c r="A67" s="10" t="inlineStr">
        <is>
          <t>Team Samba</t>
        </is>
      </c>
      <c r="B67" s="10" t="inlineStr">
        <is>
          <t>Sheik Farzand Razi</t>
        </is>
      </c>
      <c r="C67" s="10" t="inlineStr">
        <is>
          <t>SDO-6876</t>
        </is>
      </c>
      <c r="D67" s="10" t="inlineStr">
        <is>
          <t>SDO-6876 VoP Gateway solution</t>
        </is>
      </c>
      <c r="E67" s="10" t="inlineStr">
        <is>
          <t>SDO-7220</t>
        </is>
      </c>
      <c r="F67" s="10" t="inlineStr">
        <is>
          <t>[Release VOP] Release Services in order on AC</t>
        </is>
      </c>
      <c r="G67" s="22" t="n">
        <v>40</v>
      </c>
    </row>
    <row r="68">
      <c r="A68" s="10" t="inlineStr">
        <is>
          <t>Team Samba</t>
        </is>
      </c>
      <c r="B68" s="10" t="inlineStr">
        <is>
          <t>Sheik Farzand Razi</t>
        </is>
      </c>
      <c r="C68" s="10" t="inlineStr">
        <is>
          <t>SDO-6876</t>
        </is>
      </c>
      <c r="D68" s="10" t="inlineStr">
        <is>
          <t>SDO-6876 VoP Gateway solution</t>
        </is>
      </c>
      <c r="E68" s="10" t="inlineStr">
        <is>
          <t>SDO-7312</t>
        </is>
      </c>
      <c r="F68" s="10" t="inlineStr">
        <is>
          <t>Remove the acceptance environment time restri</t>
        </is>
      </c>
      <c r="G68" s="22" t="n">
        <v>16</v>
      </c>
    </row>
    <row r="69">
      <c r="A69" s="10" t="inlineStr">
        <is>
          <t>Team Samba</t>
        </is>
      </c>
      <c r="B69" s="10" t="inlineStr">
        <is>
          <t>Ismail Kuyu</t>
        </is>
      </c>
      <c r="C69" s="10" t="inlineStr">
        <is>
          <t>SDO-4324</t>
        </is>
      </c>
      <c r="D69" s="10" t="inlineStr">
        <is>
          <t>SDO-4324 SWIFT Outbound/Inbound</t>
        </is>
      </c>
      <c r="E69" s="10" t="inlineStr">
        <is>
          <t>SDO-7003</t>
        </is>
      </c>
      <c r="F69" s="10" t="inlineStr">
        <is>
          <t>Van Lanschot responding swift using wrong cre</t>
        </is>
      </c>
      <c r="G69" s="22" t="n">
        <v>2.6667</v>
      </c>
    </row>
    <row r="70">
      <c r="A70" s="10" t="inlineStr">
        <is>
          <t>Team Samba</t>
        </is>
      </c>
      <c r="B70" s="10" t="inlineStr">
        <is>
          <t>Ismail Kuyu</t>
        </is>
      </c>
      <c r="C70" s="10" t="inlineStr">
        <is>
          <t>SDO-6876</t>
        </is>
      </c>
      <c r="D70" s="10" t="inlineStr">
        <is>
          <t>SDO-6876 VoP Gateway solution</t>
        </is>
      </c>
      <c r="E70" s="10" t="inlineStr">
        <is>
          <t>SDO-7184</t>
        </is>
      </c>
      <c r="F70" s="10" t="inlineStr">
        <is>
          <t>[Router] Encrypt VAS headers to prevent tampe</t>
        </is>
      </c>
      <c r="G70" s="22" t="n">
        <v>4.6667</v>
      </c>
    </row>
    <row r="71">
      <c r="A71" s="10" t="inlineStr">
        <is>
          <t>Team Samba</t>
        </is>
      </c>
      <c r="B71" s="10" t="inlineStr">
        <is>
          <t>Ismail Kuyu</t>
        </is>
      </c>
      <c r="C71" s="10" t="inlineStr">
        <is>
          <t>SDO-7144</t>
        </is>
      </c>
      <c r="D71" s="10" t="inlineStr">
        <is>
          <t>SDO-7144 VoP Bank API extended</t>
        </is>
      </c>
      <c r="E71" s="10" t="inlineStr">
        <is>
          <t>SDO-7122</t>
        </is>
      </c>
      <c r="F71" s="10" t="inlineStr">
        <is>
          <t>[VOP Bank Bridge] Implement the new Bank v2.2</t>
        </is>
      </c>
      <c r="G71" s="22" t="n">
        <v>43.3333</v>
      </c>
    </row>
    <row r="72">
      <c r="A72" s="10" t="inlineStr">
        <is>
          <t>Team Samba</t>
        </is>
      </c>
      <c r="B72" s="10" t="inlineStr">
        <is>
          <t>Jay Pavlenko</t>
        </is>
      </c>
      <c r="C72" s="10" t="inlineStr">
        <is>
          <t>SDO-6876</t>
        </is>
      </c>
      <c r="D72" s="10" t="inlineStr">
        <is>
          <t>SDO-6876 VoP Gateway solution</t>
        </is>
      </c>
      <c r="E72" s="10" t="inlineStr">
        <is>
          <t>SDO-7226</t>
        </is>
      </c>
      <c r="F72" s="10" t="inlineStr">
        <is>
          <t>Update mock and Postman Collection for Sandbo</t>
        </is>
      </c>
      <c r="G72" s="22" t="n">
        <v>12</v>
      </c>
    </row>
    <row r="73">
      <c r="A73" s="10" t="inlineStr">
        <is>
          <t>Team Samba</t>
        </is>
      </c>
      <c r="B73" s="10" t="inlineStr">
        <is>
          <t>Muhammad Sulaiman</t>
        </is>
      </c>
      <c r="C73" s="10" t="inlineStr">
        <is>
          <t>SDO-6876</t>
        </is>
      </c>
      <c r="D73" s="10" t="inlineStr">
        <is>
          <t>SDO-6876 VoP Gateway solution</t>
        </is>
      </c>
      <c r="E73" s="10" t="inlineStr">
        <is>
          <t>SDO-7221</t>
        </is>
      </c>
      <c r="F73" s="10" t="inlineStr">
        <is>
          <t>[Release VOP] Release Services in order on PR</t>
        </is>
      </c>
      <c r="G73" s="22" t="n">
        <v>2</v>
      </c>
    </row>
    <row r="74">
      <c r="A74" s="10" t="inlineStr">
        <is>
          <t>YODA</t>
        </is>
      </c>
      <c r="B74" s="10" t="inlineStr">
        <is>
          <t>Mark Moorcroft</t>
        </is>
      </c>
      <c r="C74" s="10" t="inlineStr">
        <is>
          <t>YODA-1338</t>
        </is>
      </c>
      <c r="D74" s="10" t="inlineStr">
        <is>
          <t>YODA-1338 Auditing &amp; Dashboard POCs</t>
        </is>
      </c>
      <c r="E74" s="10" t="inlineStr">
        <is>
          <t>YODA-1367</t>
        </is>
      </c>
      <c r="F74" s="10" t="inlineStr">
        <is>
          <t>Create automation for openSearch</t>
        </is>
      </c>
      <c r="G74" s="22" t="n">
        <v>141.2</v>
      </c>
    </row>
    <row r="75">
      <c r="A75" s="10" t="inlineStr">
        <is>
          <t>YODA</t>
        </is>
      </c>
      <c r="B75" s="10" t="inlineStr">
        <is>
          <t>Richard Oliver</t>
        </is>
      </c>
      <c r="C75" s="10" t="inlineStr">
        <is>
          <t>YODA-1338</t>
        </is>
      </c>
      <c r="D75" s="10" t="inlineStr">
        <is>
          <t>YODA-1338 Auditing &amp; Dashboard POCs</t>
        </is>
      </c>
      <c r="E75" s="10" t="inlineStr">
        <is>
          <t>YODA-1366</t>
        </is>
      </c>
      <c r="F75" s="10" t="inlineStr">
        <is>
          <t>FluentD Performance test</t>
        </is>
      </c>
      <c r="G75" s="22" t="n">
        <v>56</v>
      </c>
    </row>
    <row r="76">
      <c r="A76" s="10" t="inlineStr">
        <is>
          <t>YODA</t>
        </is>
      </c>
      <c r="B76" s="10" t="inlineStr">
        <is>
          <t>Richard Oliver</t>
        </is>
      </c>
      <c r="C76" s="10" t="inlineStr">
        <is>
          <t>YODA-1338</t>
        </is>
      </c>
      <c r="D76" s="10" t="inlineStr">
        <is>
          <t>YODA-1338 Auditing &amp; Dashboard POCs</t>
        </is>
      </c>
      <c r="E76" s="10" t="inlineStr">
        <is>
          <t>YODA-1423</t>
        </is>
      </c>
      <c r="F76" s="10" t="inlineStr">
        <is>
          <t>[FluentD] to multiple clusters, relevant inde</t>
        </is>
      </c>
      <c r="G76" s="22" t="n">
        <v>28</v>
      </c>
    </row>
    <row r="77">
      <c r="A77" s="10" t="inlineStr">
        <is>
          <t>YODA</t>
        </is>
      </c>
      <c r="B77" s="10" t="inlineStr">
        <is>
          <t>Richard Oliver</t>
        </is>
      </c>
      <c r="C77" s="10" t="inlineStr">
        <is>
          <t>YODA-1338</t>
        </is>
      </c>
      <c r="D77" s="10" t="inlineStr">
        <is>
          <t>YODA-1338 Auditing &amp; Dashboard POCs</t>
        </is>
      </c>
      <c r="E77" s="10" t="inlineStr">
        <is>
          <t>YODA-1408</t>
        </is>
      </c>
      <c r="F77" s="10" t="inlineStr">
        <is>
          <t xml:space="preserve">[FluentD] Run tests with CVS to push logs to </t>
        </is>
      </c>
      <c r="G77" s="22" t="n">
        <v>12</v>
      </c>
    </row>
    <row r="78">
      <c r="A78" s="10" t="inlineStr">
        <is>
          <t>YODA</t>
        </is>
      </c>
      <c r="B78" s="10" t="inlineStr">
        <is>
          <t>Keerthi Shankar</t>
        </is>
      </c>
      <c r="C78" s="10" t="inlineStr">
        <is>
          <t>YODA-1338</t>
        </is>
      </c>
      <c r="D78" s="10" t="inlineStr">
        <is>
          <t>YODA-1338 Auditing &amp; Dashboard POCs</t>
        </is>
      </c>
      <c r="E78" s="10" t="inlineStr">
        <is>
          <t>YODA-1407</t>
        </is>
      </c>
      <c r="F78" s="10" t="inlineStr">
        <is>
          <t>[FluentD] Run FluentD in ECS container and co</t>
        </is>
      </c>
      <c r="G78" s="22" t="n">
        <v>44</v>
      </c>
    </row>
    <row r="79">
      <c r="A79" s="10" t="inlineStr">
        <is>
          <t>YODA</t>
        </is>
      </c>
      <c r="B79" s="10" t="inlineStr">
        <is>
          <t>Keerthi Shankar</t>
        </is>
      </c>
      <c r="C79" s="10" t="inlineStr">
        <is>
          <t>YODA-1338</t>
        </is>
      </c>
      <c r="D79" s="10" t="inlineStr">
        <is>
          <t>YODA-1338 Auditing &amp; Dashboard POCs</t>
        </is>
      </c>
      <c r="E79" s="10" t="inlineStr">
        <is>
          <t>YODA-1400</t>
        </is>
      </c>
      <c r="F79" s="10" t="inlineStr">
        <is>
          <t>Create Docker image for fluentd</t>
        </is>
      </c>
      <c r="G79" s="22" t="n">
        <v>4.6667</v>
      </c>
    </row>
    <row r="80">
      <c r="A80" s="10" t="inlineStr">
        <is>
          <t>YODA</t>
        </is>
      </c>
      <c r="B80" s="10" t="inlineStr">
        <is>
          <t>Ramseshu Ghanta</t>
        </is>
      </c>
      <c r="C80" s="10" t="inlineStr">
        <is>
          <t>YODA-1046</t>
        </is>
      </c>
      <c r="D80" s="10" t="inlineStr">
        <is>
          <t>YODA-1046 OPA - JPM V1</t>
        </is>
      </c>
      <c r="E80" s="10" t="inlineStr">
        <is>
          <t>YODA-1297</t>
        </is>
      </c>
      <c r="F80" s="10" t="inlineStr">
        <is>
          <t>Respond Not_Found for 3010 and Not_In_Scope f</t>
        </is>
      </c>
      <c r="G80" s="22" t="n">
        <v>8</v>
      </c>
    </row>
    <row r="82">
      <c r="F82" s="3" t="inlineStr">
        <is>
          <t>TOTAL</t>
        </is>
      </c>
      <c r="G82" s="16">
        <f>SUM(G4:G80)</f>
        <v/>
      </c>
    </row>
  </sheetData>
  <autoFilter ref="A3:G8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2" customWidth="1" min="3" max="3"/>
    <col width="16" customWidth="1" min="4" max="4"/>
    <col width="52" customWidth="1" min="5" max="5"/>
  </cols>
  <sheetData>
    <row r="1">
      <c r="A1" s="1" t="inlineStr">
        <is>
          <t>Mapping and scope issues found during this run</t>
        </is>
      </c>
    </row>
    <row r="3">
      <c r="A3" s="9" t="inlineStr">
        <is>
          <t>Team</t>
        </is>
      </c>
      <c r="B3" s="9" t="inlineStr">
        <is>
          <t>Epic key</t>
        </is>
      </c>
      <c r="C3" s="9" t="inlineStr">
        <is>
          <t>Issue</t>
        </is>
      </c>
      <c r="D3" s="9" t="inlineStr">
        <is>
          <t>Example ticket</t>
        </is>
      </c>
      <c r="E3" s="9" t="inlineStr">
        <is>
          <t>Action</t>
        </is>
      </c>
    </row>
    <row r="4">
      <c r="A4" s="10" t="inlineStr">
        <is>
          <t>Team Horizon</t>
        </is>
      </c>
      <c r="B4" s="10" t="inlineStr">
        <is>
          <t>SUK-1438</t>
        </is>
      </c>
      <c r="C4" s="10" t="inlineStr">
        <is>
          <t>Absent from the mapping CSV entirely</t>
        </is>
      </c>
      <c r="D4" s="10" t="inlineStr">
        <is>
          <t>SUK-1557</t>
        </is>
      </c>
      <c r="E4" s="10" t="inlineStr">
        <is>
          <t>Treated as non-WBSO. Add a row to the CSV if it should count.</t>
        </is>
      </c>
    </row>
    <row r="5">
      <c r="A5" s="10" t="inlineStr">
        <is>
          <t>Team Horizon</t>
        </is>
      </c>
      <c r="B5" s="10" t="inlineStr">
        <is>
          <t>SUK-2339</t>
        </is>
      </c>
      <c r="C5" s="10" t="inlineStr">
        <is>
          <t>Absent from the mapping CSV entirely</t>
        </is>
      </c>
      <c r="D5" s="10" t="inlineStr">
        <is>
          <t>SUK-3511</t>
        </is>
      </c>
      <c r="E5" s="10" t="inlineStr">
        <is>
          <t>Treated as non-WBSO. Add a row to the CSV if it should count.</t>
        </is>
      </c>
    </row>
    <row r="6">
      <c r="A6" s="10" t="inlineStr">
        <is>
          <t>Team Horizon</t>
        </is>
      </c>
      <c r="B6" s="10" t="inlineStr">
        <is>
          <t>SUK-4741</t>
        </is>
      </c>
      <c r="C6" s="10" t="inlineStr">
        <is>
          <t>Absent from the mapping CSV entirely</t>
        </is>
      </c>
      <c r="D6" s="10" t="inlineStr">
        <is>
          <t>SUK-4751</t>
        </is>
      </c>
      <c r="E6" s="10" t="inlineStr">
        <is>
          <t>Treated as non-WBSO. Add a row to the CSV if it should count.</t>
        </is>
      </c>
    </row>
    <row r="7">
      <c r="A7" s="10" t="inlineStr">
        <is>
          <t>Team Horizon</t>
        </is>
      </c>
      <c r="B7" s="10" t="inlineStr">
        <is>
          <t>SUK-6072</t>
        </is>
      </c>
      <c r="C7" s="10" t="inlineStr">
        <is>
          <t>Absent from the mapping CSV entirely</t>
        </is>
      </c>
      <c r="D7" s="10" t="inlineStr">
        <is>
          <t>SUK-2977</t>
        </is>
      </c>
      <c r="E7" s="10" t="inlineStr">
        <is>
          <t>Treated as non-WBSO. Add a row to the CSV if it should count.</t>
        </is>
      </c>
    </row>
    <row r="8">
      <c r="A8" s="10" t="inlineStr">
        <is>
          <t>Team Horizon</t>
        </is>
      </c>
      <c r="B8" s="10" t="inlineStr">
        <is>
          <t>SUK-6076</t>
        </is>
      </c>
      <c r="C8" s="10" t="inlineStr">
        <is>
          <t>Absent from the mapping CSV entirely</t>
        </is>
      </c>
      <c r="D8" s="10" t="inlineStr">
        <is>
          <t>SUK-5097</t>
        </is>
      </c>
      <c r="E8" s="10" t="inlineStr">
        <is>
          <t>Treated as non-WBSO. Add a row to the CSV if it should count.</t>
        </is>
      </c>
    </row>
    <row r="9">
      <c r="A9" s="10" t="inlineStr">
        <is>
          <t>Team Samba</t>
        </is>
      </c>
      <c r="B9" s="10" t="inlineStr">
        <is>
          <t>SDO-8170</t>
        </is>
      </c>
      <c r="C9" s="10" t="inlineStr">
        <is>
          <t>Absent from the mapping CSV entirely</t>
        </is>
      </c>
      <c r="D9" s="10" t="inlineStr">
        <is>
          <t>SDO-7265</t>
        </is>
      </c>
      <c r="E9" s="10" t="inlineStr">
        <is>
          <t>Treated as non-WBSO. Add a row to the CSV if it should count.</t>
        </is>
      </c>
    </row>
    <row r="10">
      <c r="A10" s="10" t="inlineStr">
        <is>
          <t>Team Samba</t>
        </is>
      </c>
      <c r="B10" s="10" t="inlineStr">
        <is>
          <t>SDO-8305</t>
        </is>
      </c>
      <c r="C10" s="10" t="inlineStr">
        <is>
          <t>Absent from the mapping CSV entirely</t>
        </is>
      </c>
      <c r="D10" s="10" t="inlineStr">
        <is>
          <t>SDO-5879</t>
        </is>
      </c>
      <c r="E10" s="10" t="inlineStr">
        <is>
          <t>Treated as non-WBSO. Add a row to the CSV if it should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2026-08-21T16:31:23Z</dcterms:created>
  <dcterms:modified xsi:type="dcterms:W3CDTF">2026-08-21T16:31:23Z</dcterms:modified>
</cp:coreProperties>
</file>
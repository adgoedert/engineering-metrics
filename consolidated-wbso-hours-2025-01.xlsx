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" sheetId="2" state="visible" r:id="rId2"/>
    <sheet name="Pastel de Portal Team" sheetId="3" state="visible" r:id="rId3"/>
    <sheet name="Platform Team 6" sheetId="4" state="visible" r:id="rId4"/>
    <sheet name="Team Horizon" sheetId="5" state="visible" r:id="rId5"/>
    <sheet name="Team Ikigai" sheetId="6" state="visible" r:id="rId6"/>
    <sheet name="Team Samba" sheetId="7" state="visible" r:id="rId7"/>
    <sheet name="YODA" sheetId="8" state="visible" r:id="rId8"/>
    <sheet name="Detail" sheetId="9" state="visible" r:id="rId9"/>
    <sheet name="Diagnostics" sheetId="10" state="visible" r:id="rId10"/>
  </sheets>
  <definedNames>
    <definedName name="_xlnm._FilterDatabase" localSheetId="1" hidden="1">'Summary'!$A$4:$J$10</definedName>
    <definedName name="_xlnm._FilterDatabase" localSheetId="8" hidden="1">'Detail'!$A$3:$G$65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sz val="11"/>
    </font>
    <font>
      <name val="Arial"/>
      <i val="1"/>
      <color rgb="00666666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Consolidated WBSO Hours — run parameters</t>
        </is>
      </c>
    </row>
    <row r="3">
      <c r="A3" s="2" t="inlineStr">
        <is>
          <t>Parameter</t>
        </is>
      </c>
      <c r="B3" s="2" t="inlineStr">
        <is>
          <t>Value</t>
        </is>
      </c>
    </row>
    <row r="5">
      <c r="A5" s="3" t="inlineStr">
        <is>
          <t>Hours per engineer per day</t>
        </is>
      </c>
      <c r="B5" s="4" t="n">
        <v>8</v>
      </c>
    </row>
    <row r="6">
      <c r="A6" s="3" t="inlineStr">
        <is>
          <t>Reporting month</t>
        </is>
      </c>
      <c r="B6" s="5" t="inlineStr">
        <is>
          <t>2025-01</t>
        </is>
      </c>
    </row>
    <row r="7">
      <c r="A7" s="3" t="inlineStr">
        <is>
          <t>Teams in scope</t>
        </is>
      </c>
      <c r="B7" s="5" t="n">
        <v>6</v>
      </c>
    </row>
    <row r="8">
      <c r="A8" s="3" t="inlineStr">
        <is>
          <t>Teams with WBSO hours</t>
        </is>
      </c>
      <c r="B8" s="5" t="n">
        <v>3</v>
      </c>
    </row>
    <row r="9">
      <c r="A9" s="3" t="inlineStr">
        <is>
          <t>Epic filter</t>
        </is>
      </c>
      <c r="B9" s="5" t="inlineStr">
        <is>
          <t>WBSO epics flagged for each team</t>
        </is>
      </c>
    </row>
    <row r="10">
      <c r="A10" s="3" t="inlineStr">
        <is>
          <t>Mapping CSV</t>
        </is>
      </c>
      <c r="B10" s="5" t="inlineStr">
        <is>
          <t>epics-mapping.csv</t>
        </is>
      </c>
    </row>
    <row r="11">
      <c r="A11" s="3" t="inlineStr">
        <is>
          <t>Generated by</t>
        </is>
      </c>
      <c r="B11" s="5" t="inlineStr">
        <is>
          <t>engineering-metrics / consolidated-wbso-hours</t>
        </is>
      </c>
    </row>
    <row r="13">
      <c r="A13" s="6" t="inlineStr">
        <is>
          <t>Method</t>
        </is>
      </c>
    </row>
    <row r="14" ht="28" customHeight="1">
      <c r="A14" s="7" t="inlineStr">
        <is>
          <t>• A weekday on which an engineer held a ticket while it was In Progress makes that ticket active for them that day.</t>
        </is>
      </c>
    </row>
    <row r="15" ht="28" customHeight="1">
      <c r="A15" s="7" t="inlineStr">
        <is>
          <t>• Each engineer-day is worth at most the hours-per-day figure above, split equally across every ticket active that day.</t>
        </is>
      </c>
    </row>
    <row r="16" ht="28" customHeight="1">
      <c r="A16" s="7" t="inlineStr">
        <is>
          <t>• The split denominator is ALL tickets held that day, including non-WBSO ones. Filtering to WBSO removes rows but never inflates the hours remaining — important for a subsidy claim.</t>
        </is>
      </c>
    </row>
    <row r="17" ht="28" customHeight="1">
      <c r="A17" s="7" t="inlineStr">
        <is>
          <t>• An engineer working for two teams in the month is counted under each, so team capacity figures do not sum to a person-month.</t>
        </is>
      </c>
    </row>
    <row r="18" ht="28" customHeight="1">
      <c r="A18" s="7" t="inlineStr">
        <is>
          <t>• Weekends are excluded. Public holidays are NOT excluded.</t>
        </is>
      </c>
    </row>
    <row r="19" ht="28" customHeight="1">
      <c r="A19" s="7" t="inlineStr">
        <is>
          <t>• Hours on the Detail sheet are computed by the tool from the Jira changelog; they are inputs here, not sheet-derived. Every total above them is a formula.</t>
        </is>
      </c>
    </row>
  </sheetData>
  <mergeCells count="6">
    <mergeCell ref="A16:B16"/>
    <mergeCell ref="A15:B15"/>
    <mergeCell ref="A19:B19"/>
    <mergeCell ref="A14:B14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1" customWidth="1" min="4" max="4"/>
    <col width="11" customWidth="1" min="5" max="5"/>
    <col width="13" customWidth="1" min="6" max="6"/>
    <col width="16" customWidth="1" min="7" max="7"/>
    <col width="15" customWidth="1" min="8" max="8"/>
    <col width="12" customWidth="1" min="9" max="9"/>
    <col width="34" customWidth="1" min="10" max="10"/>
  </cols>
  <sheetData>
    <row r="1">
      <c r="A1" s="1" t="inlineStr">
        <is>
          <t>WBSO hours per team</t>
        </is>
      </c>
    </row>
    <row r="2">
      <c r="A2" s="8" t="inlineStr">
        <is>
          <t>Hours are SUMIFS over Detail. Capacity = active engineer-days x hours-per-day (Assumptions!B5).</t>
        </is>
      </c>
    </row>
    <row r="4">
      <c r="A4" s="9" t="inlineStr">
        <is>
          <t>Team</t>
        </is>
      </c>
      <c r="B4" s="9" t="inlineStr">
        <is>
          <t>Jira key</t>
        </is>
      </c>
      <c r="C4" s="9" t="inlineStr">
        <is>
          <t>Sheet</t>
        </is>
      </c>
      <c r="D4" s="9" t="inlineStr">
        <is>
          <t>Engineers</t>
        </is>
      </c>
      <c r="E4" s="9" t="inlineStr">
        <is>
          <t>WBSO epics</t>
        </is>
      </c>
      <c r="F4" s="9" t="inlineStr">
        <is>
          <t>WBSO hours</t>
        </is>
      </c>
      <c r="G4" s="9" t="inlineStr">
        <is>
          <t>Active eng-days</t>
        </is>
      </c>
      <c r="H4" s="9" t="inlineStr">
        <is>
          <t>Capacity hours</t>
        </is>
      </c>
      <c r="I4" s="9" t="inlineStr">
        <is>
          <t>WBSO share</t>
        </is>
      </c>
      <c r="J4" s="9" t="inlineStr">
        <is>
          <t>Status</t>
        </is>
      </c>
    </row>
    <row r="5">
      <c r="A5" s="10" t="inlineStr">
        <is>
          <t>Pastel de Portal Team</t>
        </is>
      </c>
      <c r="B5" s="10" t="inlineStr">
        <is>
          <t>PT</t>
        </is>
      </c>
      <c r="C5" s="10" t="inlineStr">
        <is>
          <t>Pastel de Portal Team</t>
        </is>
      </c>
      <c r="D5" s="11" t="n">
        <v>0</v>
      </c>
      <c r="E5" s="11" t="n">
        <v>6</v>
      </c>
      <c r="F5" s="12" t="n">
        <v>0</v>
      </c>
      <c r="G5" s="11" t="n">
        <v>0</v>
      </c>
      <c r="H5" s="12">
        <f>$G5*Assumptions!$B$5</f>
        <v/>
      </c>
      <c r="I5" s="13">
        <f>IFERROR($F5/$H5,0)</f>
        <v/>
      </c>
      <c r="J5" s="14" t="inlineStr">
        <is>
          <t>3 candidates, none attributable (2 never reached In Progress; 1 in progress outside the month)</t>
        </is>
      </c>
    </row>
    <row r="6">
      <c r="A6" s="10" t="inlineStr">
        <is>
          <t>Platform Team 6</t>
        </is>
      </c>
      <c r="B6" s="10" t="inlineStr">
        <is>
          <t>PT6</t>
        </is>
      </c>
      <c r="C6" s="10" t="inlineStr">
        <is>
          <t>Platform Team 6</t>
        </is>
      </c>
      <c r="D6" s="11" t="n">
        <v>4</v>
      </c>
      <c r="E6" s="11" t="n">
        <v>5</v>
      </c>
      <c r="F6" s="12" t="n">
        <v>0</v>
      </c>
      <c r="G6" s="11" t="n">
        <v>88</v>
      </c>
      <c r="H6" s="12">
        <f>$G6*Assumptions!$B$5</f>
        <v/>
      </c>
      <c r="I6" s="13">
        <f>IFERROR($F6/$H6,0)</f>
        <v/>
      </c>
      <c r="J6" s="14" t="inlineStr">
        <is>
          <t>31 ticket(s) had hours, but all 31 were filtered out as non-WBSO</t>
        </is>
      </c>
    </row>
    <row r="7">
      <c r="A7" s="10" t="inlineStr">
        <is>
          <t>Team Horizon</t>
        </is>
      </c>
      <c r="B7" s="10" t="inlineStr">
        <is>
          <t>SUK</t>
        </is>
      </c>
      <c r="C7" s="10" t="inlineStr">
        <is>
          <t>Team Horizon</t>
        </is>
      </c>
      <c r="D7" s="11" t="n">
        <v>12</v>
      </c>
      <c r="E7" s="11" t="n">
        <v>13</v>
      </c>
      <c r="F7" s="12" t="n">
        <v>0</v>
      </c>
      <c r="G7" s="11" t="n">
        <v>264</v>
      </c>
      <c r="H7" s="12">
        <f>$G7*Assumptions!$B$5</f>
        <v/>
      </c>
      <c r="I7" s="13">
        <f>IFERROR($F7/$H7,0)</f>
        <v/>
      </c>
      <c r="J7" s="14" t="inlineStr">
        <is>
          <t>81 ticket(s) had hours, but all 81 were filtered out as non-WBSO</t>
        </is>
      </c>
    </row>
    <row r="8">
      <c r="A8" s="10" t="inlineStr">
        <is>
          <t>Team Ikigai</t>
        </is>
      </c>
      <c r="B8" s="10" t="inlineStr">
        <is>
          <t>SPD</t>
        </is>
      </c>
      <c r="C8" s="10" t="inlineStr">
        <is>
          <t>Team Ikigai</t>
        </is>
      </c>
      <c r="D8" s="11" t="n">
        <v>7</v>
      </c>
      <c r="E8" s="11" t="n">
        <v>25</v>
      </c>
      <c r="F8" s="12">
        <f>SUMIFS(Detail!$G$4:$G$65,Detail!$A$4:$A$65,$A8)</f>
        <v/>
      </c>
      <c r="G8" s="11" t="n">
        <v>108</v>
      </c>
      <c r="H8" s="12">
        <f>$G8*Assumptions!$B$5</f>
        <v/>
      </c>
      <c r="I8" s="13">
        <f>IFERROR($F8/$H8,0)</f>
        <v/>
      </c>
      <c r="J8" s="10" t="inlineStr">
        <is>
          <t>754.7h across 7 engineer(s)</t>
        </is>
      </c>
    </row>
    <row r="9">
      <c r="A9" s="10" t="inlineStr">
        <is>
          <t>Team Samba</t>
        </is>
      </c>
      <c r="B9" s="10" t="inlineStr">
        <is>
          <t>SDO</t>
        </is>
      </c>
      <c r="C9" s="10" t="inlineStr">
        <is>
          <t>Team Samba</t>
        </is>
      </c>
      <c r="D9" s="11" t="n">
        <v>8</v>
      </c>
      <c r="E9" s="11" t="n">
        <v>18</v>
      </c>
      <c r="F9" s="12">
        <f>SUMIFS(Detail!$G$4:$G$65,Detail!$A$4:$A$65,$A9)</f>
        <v/>
      </c>
      <c r="G9" s="11" t="n">
        <v>145</v>
      </c>
      <c r="H9" s="12">
        <f>$G9*Assumptions!$B$5</f>
        <v/>
      </c>
      <c r="I9" s="13">
        <f>IFERROR($F9/$H9,0)</f>
        <v/>
      </c>
      <c r="J9" s="10" t="inlineStr">
        <is>
          <t>762.7h across 8 engineer(s)</t>
        </is>
      </c>
    </row>
    <row r="10">
      <c r="A10" s="10" t="inlineStr">
        <is>
          <t>YODA</t>
        </is>
      </c>
      <c r="B10" s="10" t="inlineStr">
        <is>
          <t>YODA</t>
        </is>
      </c>
      <c r="C10" s="10" t="inlineStr">
        <is>
          <t>YODA</t>
        </is>
      </c>
      <c r="D10" s="11" t="n">
        <v>5</v>
      </c>
      <c r="E10" s="11" t="n">
        <v>29</v>
      </c>
      <c r="F10" s="12">
        <f>SUMIFS(Detail!$G$4:$G$65,Detail!$A$4:$A$65,$A10)</f>
        <v/>
      </c>
      <c r="G10" s="11" t="n">
        <v>102</v>
      </c>
      <c r="H10" s="12">
        <f>$G10*Assumptions!$B$5</f>
        <v/>
      </c>
      <c r="I10" s="13">
        <f>IFERROR($F10/$H10,0)</f>
        <v/>
      </c>
      <c r="J10" s="10" t="inlineStr">
        <is>
          <t>400.0h across 5 engineer(s)</t>
        </is>
      </c>
    </row>
    <row r="12">
      <c r="A12" s="3" t="inlineStr">
        <is>
          <t>ALL TEAMS</t>
        </is>
      </c>
      <c r="D12" s="15">
        <f>SUM(D5:D10)</f>
        <v/>
      </c>
      <c r="E12" s="15">
        <f>SUM(E5:E10)</f>
        <v/>
      </c>
      <c r="F12" s="16">
        <f>SUM(F5:F10)</f>
        <v/>
      </c>
      <c r="G12" s="15">
        <f>SUM(G5:G10)</f>
        <v/>
      </c>
      <c r="H12" s="16">
        <f>SUM(H5:H10)</f>
        <v/>
      </c>
      <c r="I12" s="17">
        <f>IFERROR($F12/$H12,0)</f>
        <v/>
      </c>
    </row>
  </sheetData>
  <autoFilter ref="A4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Pastel de Portal Team — WBSO hours, 2025-01</t>
        </is>
      </c>
    </row>
    <row r="2">
      <c r="A2" s="5" t="inlineStr">
        <is>
          <t>Pastel de Portal Team</t>
        </is>
      </c>
      <c r="C2" s="8" t="inlineStr">
        <is>
          <t>^ SUMIFS key for this sheet; must match the Team column on Detail.</t>
        </is>
      </c>
    </row>
    <row r="4">
      <c r="A4" s="18" t="inlineStr">
        <is>
          <t>3 candidates, none attributable (2 never reached In Progress; 1 in progress outside the month)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Platform Team 6 — WBSO hours, 2025-01</t>
        </is>
      </c>
    </row>
    <row r="2">
      <c r="A2" s="5" t="inlineStr">
        <is>
          <t>Platform Team 6</t>
        </is>
      </c>
      <c r="C2" s="8" t="inlineStr">
        <is>
          <t>^ SUMIFS key for this sheet; must match the Team column on Detail.</t>
        </is>
      </c>
    </row>
    <row r="4">
      <c r="A4" s="18" t="inlineStr">
        <is>
          <t>31 ticket(s) had hours, but all 31 were filtered out as non-WBSO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3" max="3"/>
  </cols>
  <sheetData>
    <row r="1">
      <c r="A1" s="1" t="inlineStr">
        <is>
          <t>Team Horizon — WBSO hours, 2025-01</t>
        </is>
      </c>
    </row>
    <row r="2">
      <c r="A2" s="5" t="inlineStr">
        <is>
          <t>Team Horizon</t>
        </is>
      </c>
      <c r="C2" s="8" t="inlineStr">
        <is>
          <t>^ SUMIFS key for this sheet; must match the Team column on Detail.</t>
        </is>
      </c>
    </row>
    <row r="4">
      <c r="A4" s="18" t="inlineStr">
        <is>
          <t>81 ticket(s) had hours, but all 81 were filtered out as non-WBSO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Ikigai — WBSO hours, 2025-01</t>
        </is>
      </c>
    </row>
    <row r="2">
      <c r="A2" s="5" t="inlineStr">
        <is>
          <t>Team Ikigai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Gerard Veldman</t>
        </is>
      </c>
      <c r="B5" s="10" t="inlineStr">
        <is>
          <t>SPD-2716</t>
        </is>
      </c>
      <c r="C5" s="10" t="inlineStr">
        <is>
          <t>SPD-2716 VoP Data Hosting Interation 1</t>
        </is>
      </c>
      <c r="D5" s="12">
        <f>SUMIFS(Detail!$G$4:$G$65,Detail!$A$4:$A$65,$A$2,Detail!$B$4:$B$65,$A5,Detail!$C$4:$C$65,$B5)</f>
        <v/>
      </c>
    </row>
    <row r="6">
      <c r="A6" s="10" t="inlineStr">
        <is>
          <t>Gerard Veldman</t>
        </is>
      </c>
      <c r="B6" s="10" t="inlineStr">
        <is>
          <t>SPD-2749</t>
        </is>
      </c>
      <c r="C6" s="10" t="inlineStr">
        <is>
          <t>SPD-2749 VoP Data Hosting Ingester v1</t>
        </is>
      </c>
      <c r="D6" s="12">
        <f>SUMIFS(Detail!$G$4:$G$65,Detail!$A$4:$A$65,$A$2,Detail!$B$4:$B$65,$A6,Detail!$C$4:$C$65,$B6)</f>
        <v/>
      </c>
    </row>
    <row r="7">
      <c r="A7" s="10" t="inlineStr">
        <is>
          <t>Juanma Tastzian</t>
        </is>
      </c>
      <c r="B7" s="10" t="inlineStr">
        <is>
          <t>SPD-2749</t>
        </is>
      </c>
      <c r="C7" s="10" t="inlineStr">
        <is>
          <t>SPD-2749 VoP Data Hosting Ingester v1</t>
        </is>
      </c>
      <c r="D7" s="12">
        <f>SUMIFS(Detail!$G$4:$G$65,Detail!$A$4:$A$65,$A$2,Detail!$B$4:$B$65,$A7,Detail!$C$4:$C$65,$B7)</f>
        <v/>
      </c>
    </row>
    <row r="8">
      <c r="A8" s="10" t="inlineStr">
        <is>
          <t>Chaitanya Sagi</t>
        </is>
      </c>
      <c r="B8" s="10" t="inlineStr">
        <is>
          <t>SPD-2716</t>
        </is>
      </c>
      <c r="C8" s="10" t="inlineStr">
        <is>
          <t>SPD-2716 VoP Data Hosting Interation 1</t>
        </is>
      </c>
      <c r="D8" s="12">
        <f>SUMIFS(Detail!$G$4:$G$65,Detail!$A$4:$A$65,$A$2,Detail!$B$4:$B$65,$A8,Detail!$C$4:$C$65,$B8)</f>
        <v/>
      </c>
    </row>
    <row r="9">
      <c r="A9" s="10" t="inlineStr">
        <is>
          <t>Chaitanya Sagi</t>
        </is>
      </c>
      <c r="B9" s="10" t="inlineStr">
        <is>
          <t>SPD-2749</t>
        </is>
      </c>
      <c r="C9" s="10" t="inlineStr">
        <is>
          <t>SPD-2749 VoP Data Hosting Ingester v1</t>
        </is>
      </c>
      <c r="D9" s="12">
        <f>SUMIFS(Detail!$G$4:$G$65,Detail!$A$4:$A$65,$A$2,Detail!$B$4:$B$65,$A9,Detail!$C$4:$C$65,$B9)</f>
        <v/>
      </c>
    </row>
    <row r="10">
      <c r="A10" s="10" t="inlineStr">
        <is>
          <t>Manali Shah</t>
        </is>
      </c>
      <c r="B10" s="10" t="inlineStr">
        <is>
          <t>SPD-2716</t>
        </is>
      </c>
      <c r="C10" s="10" t="inlineStr">
        <is>
          <t>SPD-2716 VoP Data Hosting Interation 1</t>
        </is>
      </c>
      <c r="D10" s="12">
        <f>SUMIFS(Detail!$G$4:$G$65,Detail!$A$4:$A$65,$A$2,Detail!$B$4:$B$65,$A10,Detail!$C$4:$C$65,$B10)</f>
        <v/>
      </c>
    </row>
    <row r="11">
      <c r="A11" s="10" t="inlineStr">
        <is>
          <t>Sridhar Gnanasekaran</t>
        </is>
      </c>
      <c r="B11" s="10" t="inlineStr">
        <is>
          <t>SPD-2716</t>
        </is>
      </c>
      <c r="C11" s="10" t="inlineStr">
        <is>
          <t>SPD-2716 VoP Data Hosting Interation 1</t>
        </is>
      </c>
      <c r="D11" s="12">
        <f>SUMIFS(Detail!$G$4:$G$65,Detail!$A$4:$A$65,$A$2,Detail!$B$4:$B$65,$A11,Detail!$C$4:$C$65,$B11)</f>
        <v/>
      </c>
    </row>
    <row r="12">
      <c r="A12" s="10" t="inlineStr">
        <is>
          <t>Ina Nichitean</t>
        </is>
      </c>
      <c r="B12" s="10" t="inlineStr">
        <is>
          <t>SPD-2716</t>
        </is>
      </c>
      <c r="C12" s="10" t="inlineStr">
        <is>
          <t>SPD-2716 VoP Data Hosting Interation 1</t>
        </is>
      </c>
      <c r="D12" s="12">
        <f>SUMIFS(Detail!$G$4:$G$65,Detail!$A$4:$A$65,$A$2,Detail!$B$4:$B$65,$A12,Detail!$C$4:$C$65,$B12)</f>
        <v/>
      </c>
    </row>
    <row r="13">
      <c r="A13" s="10" t="inlineStr">
        <is>
          <t>Diego Silva</t>
        </is>
      </c>
      <c r="B13" s="10" t="inlineStr">
        <is>
          <t>SPD-2749</t>
        </is>
      </c>
      <c r="C13" s="10" t="inlineStr">
        <is>
          <t>SPD-2749 VoP Data Hosting Ingester v1</t>
        </is>
      </c>
      <c r="D13" s="12">
        <f>SUMIFS(Detail!$G$4:$G$65,Detail!$A$4:$A$65,$A$2,Detail!$B$4:$B$65,$A13,Detail!$C$4:$C$65,$B13)</f>
        <v/>
      </c>
    </row>
    <row r="14">
      <c r="A14" s="19" t="n"/>
      <c r="B14" s="19" t="n"/>
      <c r="C14" s="20" t="inlineStr">
        <is>
          <t>TEAM TOTAL</t>
        </is>
      </c>
      <c r="D14" s="21">
        <f>SUM(D5:D13)</f>
        <v/>
      </c>
    </row>
    <row r="17">
      <c r="A17" s="6" t="inlineStr">
        <is>
          <t>Per engineer</t>
        </is>
      </c>
    </row>
    <row r="18">
      <c r="A18" s="9" t="inlineStr">
        <is>
          <t>Engineer</t>
        </is>
      </c>
      <c r="B18" s="9" t="inlineStr">
        <is>
          <t>WBSO hours</t>
        </is>
      </c>
      <c r="C18" s="9" t="inlineStr">
        <is>
          <t>Day equivalent</t>
        </is>
      </c>
      <c r="D18" s="9" t="inlineStr">
        <is>
          <t>Active days</t>
        </is>
      </c>
      <c r="E18" s="9" t="inlineStr">
        <is>
          <t>Capacity hours</t>
        </is>
      </c>
      <c r="F18" s="9" t="inlineStr">
        <is>
          <t>WBSO share</t>
        </is>
      </c>
      <c r="G18" s="9" t="inlineStr">
        <is>
          <t>Peak tickets/day</t>
        </is>
      </c>
    </row>
    <row r="19">
      <c r="A19" s="10" t="inlineStr">
        <is>
          <t>Gerard Veldman</t>
        </is>
      </c>
      <c r="B19" s="12">
        <f>SUMIFS(Detail!$G$4:$G$65,Detail!$A$4:$A$65,$A$2,Detail!$B$4:$B$65,$A19)</f>
        <v/>
      </c>
      <c r="C19" s="12">
        <f>IFERROR($B19/Assumptions!$B$5,0)</f>
        <v/>
      </c>
      <c r="D19" s="11" t="n">
        <v>19</v>
      </c>
      <c r="E19" s="12">
        <f>$D19*Assumptions!$B$5</f>
        <v/>
      </c>
      <c r="F19" s="13">
        <f>IFERROR($B19/$E19,0)</f>
        <v/>
      </c>
      <c r="G19" s="11" t="inlineStr">
        <is>
          <t>2 on 27 Jan</t>
        </is>
      </c>
    </row>
    <row r="20">
      <c r="A20" s="10" t="inlineStr">
        <is>
          <t>Juanma Tastzian</t>
        </is>
      </c>
      <c r="B20" s="12">
        <f>SUMIFS(Detail!$G$4:$G$65,Detail!$A$4:$A$65,$A$2,Detail!$B$4:$B$65,$A20)</f>
        <v/>
      </c>
      <c r="C20" s="12">
        <f>IFERROR($B20/Assumptions!$B$5,0)</f>
        <v/>
      </c>
      <c r="D20" s="11" t="n">
        <v>19</v>
      </c>
      <c r="E20" s="12">
        <f>$D20*Assumptions!$B$5</f>
        <v/>
      </c>
      <c r="F20" s="13">
        <f>IFERROR($B20/$E20,0)</f>
        <v/>
      </c>
      <c r="G20" s="11" t="inlineStr">
        <is>
          <t>3 on 30 Jan</t>
        </is>
      </c>
    </row>
    <row r="21">
      <c r="A21" s="10" t="inlineStr">
        <is>
          <t>Chaitanya Sagi</t>
        </is>
      </c>
      <c r="B21" s="12">
        <f>SUMIFS(Detail!$G$4:$G$65,Detail!$A$4:$A$65,$A$2,Detail!$B$4:$B$65,$A21)</f>
        <v/>
      </c>
      <c r="C21" s="12">
        <f>IFERROR($B21/Assumptions!$B$5,0)</f>
        <v/>
      </c>
      <c r="D21" s="11" t="n">
        <v>18</v>
      </c>
      <c r="E21" s="12">
        <f>$D21*Assumptions!$B$5</f>
        <v/>
      </c>
      <c r="F21" s="13">
        <f>IFERROR($B21/$E21,0)</f>
        <v/>
      </c>
      <c r="G21" s="11" t="inlineStr">
        <is>
          <t>2 on 31 Jan</t>
        </is>
      </c>
    </row>
    <row r="22">
      <c r="A22" s="10" t="inlineStr">
        <is>
          <t>Manali Shah</t>
        </is>
      </c>
      <c r="B22" s="12">
        <f>SUMIFS(Detail!$G$4:$G$65,Detail!$A$4:$A$65,$A$2,Detail!$B$4:$B$65,$A22)</f>
        <v/>
      </c>
      <c r="C22" s="12">
        <f>IFERROR($B22/Assumptions!$B$5,0)</f>
        <v/>
      </c>
      <c r="D22" s="11" t="n">
        <v>23</v>
      </c>
      <c r="E22" s="12">
        <f>$D22*Assumptions!$B$5</f>
        <v/>
      </c>
      <c r="F22" s="13">
        <f>IFERROR($B22/$E22,0)</f>
        <v/>
      </c>
      <c r="G22" s="11" t="inlineStr">
        <is>
          <t>3 on 20 Jan</t>
        </is>
      </c>
    </row>
    <row r="23">
      <c r="A23" s="10" t="inlineStr">
        <is>
          <t>Sridhar Gnanasekaran</t>
        </is>
      </c>
      <c r="B23" s="12">
        <f>SUMIFS(Detail!$G$4:$G$65,Detail!$A$4:$A$65,$A$2,Detail!$B$4:$B$65,$A23)</f>
        <v/>
      </c>
      <c r="C23" s="12">
        <f>IFERROR($B23/Assumptions!$B$5,0)</f>
        <v/>
      </c>
      <c r="D23" s="11" t="n">
        <v>11</v>
      </c>
      <c r="E23" s="12">
        <f>$D23*Assumptions!$B$5</f>
        <v/>
      </c>
      <c r="F23" s="13">
        <f>IFERROR($B23/$E23,0)</f>
        <v/>
      </c>
      <c r="G23" s="11" t="inlineStr">
        <is>
          <t>3 on 23 Jan</t>
        </is>
      </c>
    </row>
    <row r="24">
      <c r="A24" s="10" t="inlineStr">
        <is>
          <t>Ina Nichitean</t>
        </is>
      </c>
      <c r="B24" s="12">
        <f>SUMIFS(Detail!$G$4:$G$65,Detail!$A$4:$A$65,$A$2,Detail!$B$4:$B$65,$A24)</f>
        <v/>
      </c>
      <c r="C24" s="12">
        <f>IFERROR($B24/Assumptions!$B$5,0)</f>
        <v/>
      </c>
      <c r="D24" s="11" t="n">
        <v>6</v>
      </c>
      <c r="E24" s="12">
        <f>$D24*Assumptions!$B$5</f>
        <v/>
      </c>
      <c r="F24" s="13">
        <f>IFERROR($B24/$E24,0)</f>
        <v/>
      </c>
      <c r="G24" s="11" t="inlineStr">
        <is>
          <t>2 on 27 Jan</t>
        </is>
      </c>
    </row>
    <row r="25">
      <c r="A25" s="10" t="inlineStr">
        <is>
          <t>Diego Silva</t>
        </is>
      </c>
      <c r="B25" s="12">
        <f>SUMIFS(Detail!$G$4:$G$65,Detail!$A$4:$A$65,$A$2,Detail!$B$4:$B$65,$A25)</f>
        <v/>
      </c>
      <c r="C25" s="12">
        <f>IFERROR($B25/Assumptions!$B$5,0)</f>
        <v/>
      </c>
      <c r="D25" s="11" t="n">
        <v>12</v>
      </c>
      <c r="E25" s="12">
        <f>$D25*Assumptions!$B$5</f>
        <v/>
      </c>
      <c r="F25" s="13">
        <f>IFERROR($B25/$E25,0)</f>
        <v/>
      </c>
      <c r="G25" s="11" t="inlineStr">
        <is>
          <t>2 on 24 Jan</t>
        </is>
      </c>
    </row>
    <row r="26">
      <c r="A26" s="3" t="inlineStr">
        <is>
          <t>TOTAL</t>
        </is>
      </c>
      <c r="B26" s="16">
        <f>SUM(B19:B25)</f>
        <v/>
      </c>
      <c r="C26" s="16">
        <f>SUM(C19:C25)</f>
        <v/>
      </c>
      <c r="D26" s="16">
        <f>SUM(D19:D25)</f>
        <v/>
      </c>
      <c r="E26" s="16">
        <f>SUM(E19:E25)</f>
        <v/>
      </c>
      <c r="F26" s="17">
        <f>IFERROR($B26/$E26,0)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Team Samba — WBSO hours, 2025-01</t>
        </is>
      </c>
    </row>
    <row r="2">
      <c r="A2" s="5" t="inlineStr">
        <is>
          <t>Team Samba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Orwa Badran</t>
        </is>
      </c>
      <c r="B5" s="10" t="inlineStr">
        <is>
          <t>SDO-5021</t>
        </is>
      </c>
      <c r="C5" s="10" t="inlineStr">
        <is>
          <t xml:space="preserve">SDO-5021 Service Improvements </t>
        </is>
      </c>
      <c r="D5" s="12">
        <f>SUMIFS(Detail!$G$4:$G$65,Detail!$A$4:$A$65,$A$2,Detail!$B$4:$B$65,$A5,Detail!$C$4:$C$65,$B5)</f>
        <v/>
      </c>
    </row>
    <row r="6">
      <c r="A6" s="10" t="inlineStr">
        <is>
          <t>Orwa Badran</t>
        </is>
      </c>
      <c r="B6" s="10" t="inlineStr">
        <is>
          <t>SDO-6876</t>
        </is>
      </c>
      <c r="C6" s="10" t="inlineStr">
        <is>
          <t>SDO-6876 VoP Gateway solution</t>
        </is>
      </c>
      <c r="D6" s="12">
        <f>SUMIFS(Detail!$G$4:$G$65,Detail!$A$4:$A$65,$A$2,Detail!$B$4:$B$65,$A6,Detail!$C$4:$C$65,$B6)</f>
        <v/>
      </c>
    </row>
    <row r="7">
      <c r="A7" s="10" t="inlineStr">
        <is>
          <t>Ismail Kuyu</t>
        </is>
      </c>
      <c r="B7" s="10" t="inlineStr">
        <is>
          <t>SDO-6876</t>
        </is>
      </c>
      <c r="C7" s="10" t="inlineStr">
        <is>
          <t>SDO-6876 VoP Gateway solution</t>
        </is>
      </c>
      <c r="D7" s="12">
        <f>SUMIFS(Detail!$G$4:$G$65,Detail!$A$4:$A$65,$A$2,Detail!$B$4:$B$65,$A7,Detail!$C$4:$C$65,$B7)</f>
        <v/>
      </c>
    </row>
    <row r="8">
      <c r="A8" s="10" t="inlineStr">
        <is>
          <t>Sandhya Pai</t>
        </is>
      </c>
      <c r="B8" s="10" t="inlineStr">
        <is>
          <t>SDO-5021</t>
        </is>
      </c>
      <c r="C8" s="10" t="inlineStr">
        <is>
          <t xml:space="preserve">SDO-5021 Service Improvements </t>
        </is>
      </c>
      <c r="D8" s="12">
        <f>SUMIFS(Detail!$G$4:$G$65,Detail!$A$4:$A$65,$A$2,Detail!$B$4:$B$65,$A8,Detail!$C$4:$C$65,$B8)</f>
        <v/>
      </c>
    </row>
    <row r="9">
      <c r="A9" s="10" t="inlineStr">
        <is>
          <t>Sandhya Pai</t>
        </is>
      </c>
      <c r="B9" s="10" t="inlineStr">
        <is>
          <t>SDO-6876</t>
        </is>
      </c>
      <c r="C9" s="10" t="inlineStr">
        <is>
          <t>SDO-6876 VoP Gateway solution</t>
        </is>
      </c>
      <c r="D9" s="12">
        <f>SUMIFS(Detail!$G$4:$G$65,Detail!$A$4:$A$65,$A$2,Detail!$B$4:$B$65,$A9,Detail!$C$4:$C$65,$B9)</f>
        <v/>
      </c>
    </row>
    <row r="10">
      <c r="A10" s="10" t="inlineStr">
        <is>
          <t>Iakovos Belonias</t>
        </is>
      </c>
      <c r="B10" s="10" t="inlineStr">
        <is>
          <t>SDO-5021</t>
        </is>
      </c>
      <c r="C10" s="10" t="inlineStr">
        <is>
          <t xml:space="preserve">SDO-5021 Service Improvements </t>
        </is>
      </c>
      <c r="D10" s="12">
        <f>SUMIFS(Detail!$G$4:$G$65,Detail!$A$4:$A$65,$A$2,Detail!$B$4:$B$65,$A10,Detail!$C$4:$C$65,$B10)</f>
        <v/>
      </c>
    </row>
    <row r="11">
      <c r="A11" s="10" t="inlineStr">
        <is>
          <t>Ioannis Argyroulis</t>
        </is>
      </c>
      <c r="B11" s="10" t="inlineStr">
        <is>
          <t>SDO-5021</t>
        </is>
      </c>
      <c r="C11" s="10" t="inlineStr">
        <is>
          <t xml:space="preserve">SDO-5021 Service Improvements </t>
        </is>
      </c>
      <c r="D11" s="12">
        <f>SUMIFS(Detail!$G$4:$G$65,Detail!$A$4:$A$65,$A$2,Detail!$B$4:$B$65,$A11,Detail!$C$4:$C$65,$B11)</f>
        <v/>
      </c>
    </row>
    <row r="12">
      <c r="A12" s="10" t="inlineStr">
        <is>
          <t>Ioannis Argyroulis</t>
        </is>
      </c>
      <c r="B12" s="10" t="inlineStr">
        <is>
          <t>SDO-6876</t>
        </is>
      </c>
      <c r="C12" s="10" t="inlineStr">
        <is>
          <t>SDO-6876 VoP Gateway solution</t>
        </is>
      </c>
      <c r="D12" s="12">
        <f>SUMIFS(Detail!$G$4:$G$65,Detail!$A$4:$A$65,$A$2,Detail!$B$4:$B$65,$A12,Detail!$C$4:$C$65,$B12)</f>
        <v/>
      </c>
    </row>
    <row r="13">
      <c r="A13" s="10" t="inlineStr">
        <is>
          <t>Ioannis Argyroulis</t>
        </is>
      </c>
      <c r="B13" s="10" t="inlineStr">
        <is>
          <t>SDO-7144</t>
        </is>
      </c>
      <c r="C13" s="10" t="inlineStr">
        <is>
          <t>SDO-7144 VoP Bank API extended</t>
        </is>
      </c>
      <c r="D13" s="12">
        <f>SUMIFS(Detail!$G$4:$G$65,Detail!$A$4:$A$65,$A$2,Detail!$B$4:$B$65,$A13,Detail!$C$4:$C$65,$B13)</f>
        <v/>
      </c>
    </row>
    <row r="14">
      <c r="A14" s="10" t="inlineStr">
        <is>
          <t>Rachel Guzman V</t>
        </is>
      </c>
      <c r="B14" s="10" t="inlineStr">
        <is>
          <t>SDO-6876</t>
        </is>
      </c>
      <c r="C14" s="10" t="inlineStr">
        <is>
          <t>SDO-6876 VoP Gateway solution</t>
        </is>
      </c>
      <c r="D14" s="12">
        <f>SUMIFS(Detail!$G$4:$G$65,Detail!$A$4:$A$65,$A$2,Detail!$B$4:$B$65,$A14,Detail!$C$4:$C$65,$B14)</f>
        <v/>
      </c>
    </row>
    <row r="15">
      <c r="A15" s="10" t="inlineStr">
        <is>
          <t>Muhammad Sulaiman</t>
        </is>
      </c>
      <c r="B15" s="10" t="inlineStr">
        <is>
          <t>SDO-5021</t>
        </is>
      </c>
      <c r="C15" s="10" t="inlineStr">
        <is>
          <t xml:space="preserve">SDO-5021 Service Improvements </t>
        </is>
      </c>
      <c r="D15" s="12">
        <f>SUMIFS(Detail!$G$4:$G$65,Detail!$A$4:$A$65,$A$2,Detail!$B$4:$B$65,$A15,Detail!$C$4:$C$65,$B15)</f>
        <v/>
      </c>
    </row>
    <row r="16">
      <c r="A16" s="10" t="inlineStr">
        <is>
          <t>Muhammad Sulaiman</t>
        </is>
      </c>
      <c r="B16" s="10" t="inlineStr">
        <is>
          <t>SDO-6876</t>
        </is>
      </c>
      <c r="C16" s="10" t="inlineStr">
        <is>
          <t>SDO-6876 VoP Gateway solution</t>
        </is>
      </c>
      <c r="D16" s="12">
        <f>SUMIFS(Detail!$G$4:$G$65,Detail!$A$4:$A$65,$A$2,Detail!$B$4:$B$65,$A16,Detail!$C$4:$C$65,$B16)</f>
        <v/>
      </c>
    </row>
    <row r="17">
      <c r="A17" s="10" t="inlineStr">
        <is>
          <t>Sheik Farzand Razi</t>
        </is>
      </c>
      <c r="B17" s="10" t="inlineStr">
        <is>
          <t>SDO-5021</t>
        </is>
      </c>
      <c r="C17" s="10" t="inlineStr">
        <is>
          <t xml:space="preserve">SDO-5021 Service Improvements </t>
        </is>
      </c>
      <c r="D17" s="12">
        <f>SUMIFS(Detail!$G$4:$G$65,Detail!$A$4:$A$65,$A$2,Detail!$B$4:$B$65,$A17,Detail!$C$4:$C$65,$B17)</f>
        <v/>
      </c>
    </row>
    <row r="18">
      <c r="A18" s="19" t="n"/>
      <c r="B18" s="19" t="n"/>
      <c r="C18" s="20" t="inlineStr">
        <is>
          <t>TEAM TOTAL</t>
        </is>
      </c>
      <c r="D18" s="21">
        <f>SUM(D5:D17)</f>
        <v/>
      </c>
    </row>
    <row r="21">
      <c r="A21" s="6" t="inlineStr">
        <is>
          <t>Per engineer</t>
        </is>
      </c>
    </row>
    <row r="22">
      <c r="A22" s="9" t="inlineStr">
        <is>
          <t>Engineer</t>
        </is>
      </c>
      <c r="B22" s="9" t="inlineStr">
        <is>
          <t>WBSO hours</t>
        </is>
      </c>
      <c r="C22" s="9" t="inlineStr">
        <is>
          <t>Day equivalent</t>
        </is>
      </c>
      <c r="D22" s="9" t="inlineStr">
        <is>
          <t>Active days</t>
        </is>
      </c>
      <c r="E22" s="9" t="inlineStr">
        <is>
          <t>Capacity hours</t>
        </is>
      </c>
      <c r="F22" s="9" t="inlineStr">
        <is>
          <t>WBSO share</t>
        </is>
      </c>
      <c r="G22" s="9" t="inlineStr">
        <is>
          <t>Peak tickets/day</t>
        </is>
      </c>
    </row>
    <row r="23">
      <c r="A23" s="10" t="inlineStr">
        <is>
          <t>Orwa Badran</t>
        </is>
      </c>
      <c r="B23" s="12">
        <f>SUMIFS(Detail!$G$4:$G$65,Detail!$A$4:$A$65,$A$2,Detail!$B$4:$B$65,$A23)</f>
        <v/>
      </c>
      <c r="C23" s="12">
        <f>IFERROR($B23/Assumptions!$B$5,0)</f>
        <v/>
      </c>
      <c r="D23" s="11" t="n">
        <v>23</v>
      </c>
      <c r="E23" s="12">
        <f>$D23*Assumptions!$B$5</f>
        <v/>
      </c>
      <c r="F23" s="13">
        <f>IFERROR($B23/$E23,0)</f>
        <v/>
      </c>
      <c r="G23" s="11" t="inlineStr">
        <is>
          <t>4 on 21 Jan</t>
        </is>
      </c>
    </row>
    <row r="24">
      <c r="A24" s="10" t="inlineStr">
        <is>
          <t>Ismail Kuyu</t>
        </is>
      </c>
      <c r="B24" s="12">
        <f>SUMIFS(Detail!$G$4:$G$65,Detail!$A$4:$A$65,$A$2,Detail!$B$4:$B$65,$A24)</f>
        <v/>
      </c>
      <c r="C24" s="12">
        <f>IFERROR($B24/Assumptions!$B$5,0)</f>
        <v/>
      </c>
      <c r="D24" s="11" t="n">
        <v>23</v>
      </c>
      <c r="E24" s="12">
        <f>$D24*Assumptions!$B$5</f>
        <v/>
      </c>
      <c r="F24" s="13">
        <f>IFERROR($B24/$E24,0)</f>
        <v/>
      </c>
      <c r="G24" s="11" t="inlineStr">
        <is>
          <t>4 on 02 Jan</t>
        </is>
      </c>
    </row>
    <row r="25">
      <c r="A25" s="10" t="inlineStr">
        <is>
          <t>Sandhya Pai</t>
        </is>
      </c>
      <c r="B25" s="12">
        <f>SUMIFS(Detail!$G$4:$G$65,Detail!$A$4:$A$65,$A$2,Detail!$B$4:$B$65,$A25)</f>
        <v/>
      </c>
      <c r="C25" s="12">
        <f>IFERROR($B25/Assumptions!$B$5,0)</f>
        <v/>
      </c>
      <c r="D25" s="11" t="n">
        <v>23</v>
      </c>
      <c r="E25" s="12">
        <f>$D25*Assumptions!$B$5</f>
        <v/>
      </c>
      <c r="F25" s="13">
        <f>IFERROR($B25/$E25,0)</f>
        <v/>
      </c>
      <c r="G25" s="11" t="inlineStr">
        <is>
          <t>4 on 08 Jan</t>
        </is>
      </c>
    </row>
    <row r="26">
      <c r="A26" s="10" t="inlineStr">
        <is>
          <t>Iakovos Belonias</t>
        </is>
      </c>
      <c r="B26" s="12">
        <f>SUMIFS(Detail!$G$4:$G$65,Detail!$A$4:$A$65,$A$2,Detail!$B$4:$B$65,$A26)</f>
        <v/>
      </c>
      <c r="C26" s="12">
        <f>IFERROR($B26/Assumptions!$B$5,0)</f>
        <v/>
      </c>
      <c r="D26" s="11" t="n">
        <v>23</v>
      </c>
      <c r="E26" s="12">
        <f>$D26*Assumptions!$B$5</f>
        <v/>
      </c>
      <c r="F26" s="13">
        <f>IFERROR($B26/$E26,0)</f>
        <v/>
      </c>
      <c r="G26" s="11" t="inlineStr">
        <is>
          <t>4 on 29 Jan</t>
        </is>
      </c>
    </row>
    <row r="27">
      <c r="A27" s="10" t="inlineStr">
        <is>
          <t>Ioannis Argyroulis</t>
        </is>
      </c>
      <c r="B27" s="12">
        <f>SUMIFS(Detail!$G$4:$G$65,Detail!$A$4:$A$65,$A$2,Detail!$B$4:$B$65,$A27)</f>
        <v/>
      </c>
      <c r="C27" s="12">
        <f>IFERROR($B27/Assumptions!$B$5,0)</f>
        <v/>
      </c>
      <c r="D27" s="11" t="n">
        <v>18</v>
      </c>
      <c r="E27" s="12">
        <f>$D27*Assumptions!$B$5</f>
        <v/>
      </c>
      <c r="F27" s="13">
        <f>IFERROR($B27/$E27,0)</f>
        <v/>
      </c>
      <c r="G27" s="11" t="inlineStr">
        <is>
          <t>3 on 23 Jan</t>
        </is>
      </c>
    </row>
    <row r="28">
      <c r="A28" s="10" t="inlineStr">
        <is>
          <t>Rachel Guzman V</t>
        </is>
      </c>
      <c r="B28" s="12">
        <f>SUMIFS(Detail!$G$4:$G$65,Detail!$A$4:$A$65,$A$2,Detail!$B$4:$B$65,$A28)</f>
        <v/>
      </c>
      <c r="C28" s="12">
        <f>IFERROR($B28/Assumptions!$B$5,0)</f>
        <v/>
      </c>
      <c r="D28" s="11" t="n">
        <v>10</v>
      </c>
      <c r="E28" s="12">
        <f>$D28*Assumptions!$B$5</f>
        <v/>
      </c>
      <c r="F28" s="13">
        <f>IFERROR($B28/$E28,0)</f>
        <v/>
      </c>
      <c r="G28" s="11" t="inlineStr">
        <is>
          <t>1 on 01 Jan</t>
        </is>
      </c>
    </row>
    <row r="29">
      <c r="A29" s="10" t="inlineStr">
        <is>
          <t>Muhammad Sulaiman</t>
        </is>
      </c>
      <c r="B29" s="12">
        <f>SUMIFS(Detail!$G$4:$G$65,Detail!$A$4:$A$65,$A$2,Detail!$B$4:$B$65,$A29)</f>
        <v/>
      </c>
      <c r="C29" s="12">
        <f>IFERROR($B29/Assumptions!$B$5,0)</f>
        <v/>
      </c>
      <c r="D29" s="11" t="n">
        <v>23</v>
      </c>
      <c r="E29" s="12">
        <f>$D29*Assumptions!$B$5</f>
        <v/>
      </c>
      <c r="F29" s="13">
        <f>IFERROR($B29/$E29,0)</f>
        <v/>
      </c>
      <c r="G29" s="11" t="inlineStr">
        <is>
          <t>5 on 03 Jan</t>
        </is>
      </c>
    </row>
    <row r="30">
      <c r="A30" s="10" t="inlineStr">
        <is>
          <t>Sheik Farzand Razi</t>
        </is>
      </c>
      <c r="B30" s="12">
        <f>SUMIFS(Detail!$G$4:$G$65,Detail!$A$4:$A$65,$A$2,Detail!$B$4:$B$65,$A30)</f>
        <v/>
      </c>
      <c r="C30" s="12">
        <f>IFERROR($B30/Assumptions!$B$5,0)</f>
        <v/>
      </c>
      <c r="D30" s="11" t="n">
        <v>2</v>
      </c>
      <c r="E30" s="12">
        <f>$D30*Assumptions!$B$5</f>
        <v/>
      </c>
      <c r="F30" s="13">
        <f>IFERROR($B30/$E30,0)</f>
        <v/>
      </c>
      <c r="G30" s="11" t="inlineStr">
        <is>
          <t>1 on 30 Jan</t>
        </is>
      </c>
    </row>
    <row r="31">
      <c r="A31" s="3" t="inlineStr">
        <is>
          <t>TOTAL</t>
        </is>
      </c>
      <c r="B31" s="16">
        <f>SUM(B23:B30)</f>
        <v/>
      </c>
      <c r="C31" s="16">
        <f>SUM(C23:C30)</f>
        <v/>
      </c>
      <c r="D31" s="16">
        <f>SUM(D23:D30)</f>
        <v/>
      </c>
      <c r="E31" s="16">
        <f>SUM(E23:E30)</f>
        <v/>
      </c>
      <c r="F31" s="17">
        <f>IFERROR($B31/$E31,0)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12" customWidth="1" min="4" max="4"/>
    <col width="15" customWidth="1" min="5" max="5"/>
    <col width="13" customWidth="1" min="6" max="6"/>
    <col width="18" customWidth="1" min="7" max="7"/>
  </cols>
  <sheetData>
    <row r="1">
      <c r="A1" s="1" t="inlineStr">
        <is>
          <t>YODA — WBSO hours, 2025-01</t>
        </is>
      </c>
    </row>
    <row r="2">
      <c r="A2" s="5" t="inlineStr">
        <is>
          <t>YODA</t>
        </is>
      </c>
      <c r="C2" s="8" t="inlineStr">
        <is>
          <t>^ SUMIFS key for this sheet; must match the Team column on Detail.</t>
        </is>
      </c>
    </row>
    <row r="4">
      <c r="A4" s="9" t="inlineStr">
        <is>
          <t>Engineer</t>
        </is>
      </c>
      <c r="B4" s="9" t="inlineStr">
        <is>
          <t>Epic key</t>
        </is>
      </c>
      <c r="C4" s="9" t="inlineStr">
        <is>
          <t>Epic</t>
        </is>
      </c>
      <c r="D4" s="9" t="inlineStr">
        <is>
          <t>Hours</t>
        </is>
      </c>
    </row>
    <row r="5">
      <c r="A5" s="10" t="inlineStr">
        <is>
          <t>Keerthi Shankar</t>
        </is>
      </c>
      <c r="B5" s="10" t="inlineStr">
        <is>
          <t>YODA-1338</t>
        </is>
      </c>
      <c r="C5" s="10" t="inlineStr">
        <is>
          <t>YODA-1338 Auditing &amp; Dashboard POCs</t>
        </is>
      </c>
      <c r="D5" s="12">
        <f>SUMIFS(Detail!$G$4:$G$65,Detail!$A$4:$A$65,$A$2,Detail!$B$4:$B$65,$A5,Detail!$C$4:$C$65,$B5)</f>
        <v/>
      </c>
    </row>
    <row r="6">
      <c r="A6" s="10" t="inlineStr">
        <is>
          <t>Delfy Pushpa</t>
        </is>
      </c>
      <c r="B6" s="10" t="inlineStr">
        <is>
          <t>YODA-1338</t>
        </is>
      </c>
      <c r="C6" s="10" t="inlineStr">
        <is>
          <t>YODA-1338 Auditing &amp; Dashboard POCs</t>
        </is>
      </c>
      <c r="D6" s="12">
        <f>SUMIFS(Detail!$G$4:$G$65,Detail!$A$4:$A$65,$A$2,Detail!$B$4:$B$65,$A6,Detail!$C$4:$C$65,$B6)</f>
        <v/>
      </c>
    </row>
    <row r="7">
      <c r="A7" s="10" t="inlineStr">
        <is>
          <t>Delfy Pushpa</t>
        </is>
      </c>
      <c r="B7" s="10" t="inlineStr">
        <is>
          <t>YODA-495</t>
        </is>
      </c>
      <c r="C7" s="10" t="inlineStr">
        <is>
          <t xml:space="preserve">YODA-495 [FCA] Use StreamMind cache </t>
        </is>
      </c>
      <c r="D7" s="12">
        <f>SUMIFS(Detail!$G$4:$G$65,Detail!$A$4:$A$65,$A$2,Detail!$B$4:$B$65,$A7,Detail!$C$4:$C$65,$B7)</f>
        <v/>
      </c>
    </row>
    <row r="8">
      <c r="A8" s="10" t="inlineStr">
        <is>
          <t>Maarten Knippers</t>
        </is>
      </c>
      <c r="B8" s="10" t="inlineStr">
        <is>
          <t>YODA-1338</t>
        </is>
      </c>
      <c r="C8" s="10" t="inlineStr">
        <is>
          <t>YODA-1338 Auditing &amp; Dashboard POCs</t>
        </is>
      </c>
      <c r="D8" s="12">
        <f>SUMIFS(Detail!$G$4:$G$65,Detail!$A$4:$A$65,$A$2,Detail!$B$4:$B$65,$A8,Detail!$C$4:$C$65,$B8)</f>
        <v/>
      </c>
    </row>
    <row r="9">
      <c r="A9" s="10" t="inlineStr">
        <is>
          <t>Mark Moorcroft</t>
        </is>
      </c>
      <c r="B9" s="10" t="inlineStr">
        <is>
          <t>YODA-1338</t>
        </is>
      </c>
      <c r="C9" s="10" t="inlineStr">
        <is>
          <t>YODA-1338 Auditing &amp; Dashboard POCs</t>
        </is>
      </c>
      <c r="D9" s="12">
        <f>SUMIFS(Detail!$G$4:$G$65,Detail!$A$4:$A$65,$A$2,Detail!$B$4:$B$65,$A9,Detail!$C$4:$C$65,$B9)</f>
        <v/>
      </c>
    </row>
    <row r="10">
      <c r="A10" s="19" t="n"/>
      <c r="B10" s="19" t="n"/>
      <c r="C10" s="20" t="inlineStr">
        <is>
          <t>TEAM TOTAL</t>
        </is>
      </c>
      <c r="D10" s="21">
        <f>SUM(D5:D9)</f>
        <v/>
      </c>
    </row>
    <row r="13">
      <c r="A13" s="6" t="inlineStr">
        <is>
          <t>Per engineer</t>
        </is>
      </c>
    </row>
    <row r="14">
      <c r="A14" s="9" t="inlineStr">
        <is>
          <t>Engineer</t>
        </is>
      </c>
      <c r="B14" s="9" t="inlineStr">
        <is>
          <t>WBSO hours</t>
        </is>
      </c>
      <c r="C14" s="9" t="inlineStr">
        <is>
          <t>Day equivalent</t>
        </is>
      </c>
      <c r="D14" s="9" t="inlineStr">
        <is>
          <t>Active days</t>
        </is>
      </c>
      <c r="E14" s="9" t="inlineStr">
        <is>
          <t>Capacity hours</t>
        </is>
      </c>
      <c r="F14" s="9" t="inlineStr">
        <is>
          <t>WBSO share</t>
        </is>
      </c>
      <c r="G14" s="9" t="inlineStr">
        <is>
          <t>Peak tickets/day</t>
        </is>
      </c>
    </row>
    <row r="15">
      <c r="A15" s="10" t="inlineStr">
        <is>
          <t>Keerthi Shankar</t>
        </is>
      </c>
      <c r="B15" s="12">
        <f>SUMIFS(Detail!$G$4:$G$65,Detail!$A$4:$A$65,$A$2,Detail!$B$4:$B$65,$A15)</f>
        <v/>
      </c>
      <c r="C15" s="12">
        <f>IFERROR($B15/Assumptions!$B$5,0)</f>
        <v/>
      </c>
      <c r="D15" s="11" t="n">
        <v>23</v>
      </c>
      <c r="E15" s="12">
        <f>$D15*Assumptions!$B$5</f>
        <v/>
      </c>
      <c r="F15" s="13">
        <f>IFERROR($B15/$E15,0)</f>
        <v/>
      </c>
      <c r="G15" s="11" t="inlineStr">
        <is>
          <t>3 on 03 Jan</t>
        </is>
      </c>
    </row>
    <row r="16">
      <c r="A16" s="10" t="inlineStr">
        <is>
          <t>Delfy Pushpa</t>
        </is>
      </c>
      <c r="B16" s="12">
        <f>SUMIFS(Detail!$G$4:$G$65,Detail!$A$4:$A$65,$A$2,Detail!$B$4:$B$65,$A16)</f>
        <v/>
      </c>
      <c r="C16" s="12">
        <f>IFERROR($B16/Assumptions!$B$5,0)</f>
        <v/>
      </c>
      <c r="D16" s="11" t="n">
        <v>23</v>
      </c>
      <c r="E16" s="12">
        <f>$D16*Assumptions!$B$5</f>
        <v/>
      </c>
      <c r="F16" s="13">
        <f>IFERROR($B16/$E16,0)</f>
        <v/>
      </c>
      <c r="G16" s="11" t="inlineStr">
        <is>
          <t>4 on 24 Jan</t>
        </is>
      </c>
    </row>
    <row r="17">
      <c r="A17" s="10" t="inlineStr">
        <is>
          <t>Maarten Knippers</t>
        </is>
      </c>
      <c r="B17" s="12">
        <f>SUMIFS(Detail!$G$4:$G$65,Detail!$A$4:$A$65,$A$2,Detail!$B$4:$B$65,$A17)</f>
        <v/>
      </c>
      <c r="C17" s="12">
        <f>IFERROR($B17/Assumptions!$B$5,0)</f>
        <v/>
      </c>
      <c r="D17" s="11" t="n">
        <v>10</v>
      </c>
      <c r="E17" s="12">
        <f>$D17*Assumptions!$B$5</f>
        <v/>
      </c>
      <c r="F17" s="13">
        <f>IFERROR($B17/$E17,0)</f>
        <v/>
      </c>
      <c r="G17" s="11" t="inlineStr">
        <is>
          <t>1 on 01 Jan</t>
        </is>
      </c>
    </row>
    <row r="18">
      <c r="A18" s="10" t="inlineStr">
        <is>
          <t>Mark Moorcroft</t>
        </is>
      </c>
      <c r="B18" s="12">
        <f>SUMIFS(Detail!$G$4:$G$65,Detail!$A$4:$A$65,$A$2,Detail!$B$4:$B$65,$A18)</f>
        <v/>
      </c>
      <c r="C18" s="12">
        <f>IFERROR($B18/Assumptions!$B$5,0)</f>
        <v/>
      </c>
      <c r="D18" s="11" t="n">
        <v>23</v>
      </c>
      <c r="E18" s="12">
        <f>$D18*Assumptions!$B$5</f>
        <v/>
      </c>
      <c r="F18" s="13">
        <f>IFERROR($B18/$E18,0)</f>
        <v/>
      </c>
      <c r="G18" s="11" t="inlineStr">
        <is>
          <t>4 on 17 Jan</t>
        </is>
      </c>
    </row>
    <row r="19">
      <c r="A19" s="3" t="inlineStr">
        <is>
          <t>TOTAL</t>
        </is>
      </c>
      <c r="B19" s="16">
        <f>SUM(B15:B18)</f>
        <v/>
      </c>
      <c r="C19" s="16">
        <f>SUM(C15:C18)</f>
        <v/>
      </c>
      <c r="D19" s="16">
        <f>SUM(D15:D18)</f>
        <v/>
      </c>
      <c r="E19" s="16">
        <f>SUM(E15:E18)</f>
        <v/>
      </c>
      <c r="F19" s="17">
        <f>IFERROR($B19/$E19,0)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34" customWidth="1" min="4" max="4"/>
    <col width="14" customWidth="1" min="5" max="5"/>
    <col width="46" customWidth="1" min="6" max="6"/>
    <col width="10" customWidth="1" min="7" max="7"/>
  </cols>
  <sheetData>
    <row r="1">
      <c r="A1" s="1" t="inlineStr">
        <is>
          <t>Per-ticket WBSO hours across every team (input data from Jira)</t>
        </is>
      </c>
    </row>
    <row r="3">
      <c r="A3" s="9" t="inlineStr">
        <is>
          <t>Team</t>
        </is>
      </c>
      <c r="B3" s="9" t="inlineStr">
        <is>
          <t>Engineer</t>
        </is>
      </c>
      <c r="C3" s="9" t="inlineStr">
        <is>
          <t>Epic key</t>
        </is>
      </c>
      <c r="D3" s="9" t="inlineStr">
        <is>
          <t>Epic</t>
        </is>
      </c>
      <c r="E3" s="9" t="inlineStr">
        <is>
          <t>Ticket</t>
        </is>
      </c>
      <c r="F3" s="9" t="inlineStr">
        <is>
          <t>Ticket summary</t>
        </is>
      </c>
      <c r="G3" s="9" t="inlineStr">
        <is>
          <t>Hours</t>
        </is>
      </c>
    </row>
    <row r="4">
      <c r="A4" s="10" t="inlineStr">
        <is>
          <t>Team Ikigai</t>
        </is>
      </c>
      <c r="B4" s="10" t="inlineStr">
        <is>
          <t>Gerard Veldman</t>
        </is>
      </c>
      <c r="C4" s="10" t="inlineStr">
        <is>
          <t>SPD-2716</t>
        </is>
      </c>
      <c r="D4" s="10" t="inlineStr">
        <is>
          <t>SPD-2716 VoP Data Hosting Interation 1</t>
        </is>
      </c>
      <c r="E4" s="10" t="inlineStr">
        <is>
          <t>SPD-2788</t>
        </is>
      </c>
      <c r="F4" s="10" t="inlineStr">
        <is>
          <t>Create resources in AWS</t>
        </is>
      </c>
      <c r="G4" s="22" t="n">
        <v>28</v>
      </c>
    </row>
    <row r="5">
      <c r="A5" s="10" t="inlineStr">
        <is>
          <t>Team Ikigai</t>
        </is>
      </c>
      <c r="B5" s="10" t="inlineStr">
        <is>
          <t>Gerard Veldman</t>
        </is>
      </c>
      <c r="C5" s="10" t="inlineStr">
        <is>
          <t>SPD-2716</t>
        </is>
      </c>
      <c r="D5" s="10" t="inlineStr">
        <is>
          <t>SPD-2716 VoP Data Hosting Interation 1</t>
        </is>
      </c>
      <c r="E5" s="10" t="inlineStr">
        <is>
          <t>SPD-2802</t>
        </is>
      </c>
      <c r="F5" s="10" t="inlineStr">
        <is>
          <t>mvn release is broken on master</t>
        </is>
      </c>
      <c r="G5" s="22" t="n">
        <v>4</v>
      </c>
    </row>
    <row r="6">
      <c r="A6" s="10" t="inlineStr">
        <is>
          <t>Team Ikigai</t>
        </is>
      </c>
      <c r="B6" s="10" t="inlineStr">
        <is>
          <t>Gerard Veldman</t>
        </is>
      </c>
      <c r="C6" s="10" t="inlineStr">
        <is>
          <t>SPD-2749</t>
        </is>
      </c>
      <c r="D6" s="10" t="inlineStr">
        <is>
          <t>SPD-2749 VoP Data Hosting Ingester v1</t>
        </is>
      </c>
      <c r="E6" s="10" t="inlineStr">
        <is>
          <t>SPD-2767</t>
        </is>
      </c>
      <c r="F6" s="10" t="inlineStr">
        <is>
          <t>Read from S3 and transform to Data Model</t>
        </is>
      </c>
      <c r="G6" s="22" t="n">
        <v>120</v>
      </c>
    </row>
    <row r="7">
      <c r="A7" s="10" t="inlineStr">
        <is>
          <t>Team Ikigai</t>
        </is>
      </c>
      <c r="B7" s="10" t="inlineStr">
        <is>
          <t>Juanma Tastzian</t>
        </is>
      </c>
      <c r="C7" s="10" t="inlineStr">
        <is>
          <t>SPD-2749</t>
        </is>
      </c>
      <c r="D7" s="10" t="inlineStr">
        <is>
          <t>SPD-2749 VoP Data Hosting Ingester v1</t>
        </is>
      </c>
      <c r="E7" s="10" t="inlineStr">
        <is>
          <t>SPD-2753</t>
        </is>
      </c>
      <c r="F7" s="10" t="inlineStr">
        <is>
          <t>Ingest file content in Accounts Cluster</t>
        </is>
      </c>
      <c r="G7" s="22" t="n">
        <v>62.6667</v>
      </c>
    </row>
    <row r="8">
      <c r="A8" s="10" t="inlineStr">
        <is>
          <t>Team Ikigai</t>
        </is>
      </c>
      <c r="B8" s="10" t="inlineStr">
        <is>
          <t>Juanma Tastzian</t>
        </is>
      </c>
      <c r="C8" s="10" t="inlineStr">
        <is>
          <t>SPD-2749</t>
        </is>
      </c>
      <c r="D8" s="10" t="inlineStr">
        <is>
          <t>SPD-2749 VoP Data Hosting Ingester v1</t>
        </is>
      </c>
      <c r="E8" s="10" t="inlineStr">
        <is>
          <t>SPD-2751</t>
        </is>
      </c>
      <c r="F8" s="10" t="inlineStr">
        <is>
          <t>prepare file validation business rules</t>
        </is>
      </c>
      <c r="G8" s="22" t="n">
        <v>40</v>
      </c>
    </row>
    <row r="9">
      <c r="A9" s="10" t="inlineStr">
        <is>
          <t>Team Ikigai</t>
        </is>
      </c>
      <c r="B9" s="10" t="inlineStr">
        <is>
          <t>Juanma Tastzian</t>
        </is>
      </c>
      <c r="C9" s="10" t="inlineStr">
        <is>
          <t>SPD-2749</t>
        </is>
      </c>
      <c r="D9" s="10" t="inlineStr">
        <is>
          <t>SPD-2749 VoP Data Hosting Ingester v1</t>
        </is>
      </c>
      <c r="E9" s="10" t="inlineStr">
        <is>
          <t>SPD-2741</t>
        </is>
      </c>
      <c r="F9" s="10" t="inlineStr">
        <is>
          <t>Build VoP Data Ingester: Project setup</t>
        </is>
      </c>
      <c r="G9" s="22" t="n">
        <v>24</v>
      </c>
    </row>
    <row r="10">
      <c r="A10" s="10" t="inlineStr">
        <is>
          <t>Team Ikigai</t>
        </is>
      </c>
      <c r="B10" s="10" t="inlineStr">
        <is>
          <t>Juanma Tastzian</t>
        </is>
      </c>
      <c r="C10" s="10" t="inlineStr">
        <is>
          <t>SPD-2749</t>
        </is>
      </c>
      <c r="D10" s="10" t="inlineStr">
        <is>
          <t>SPD-2749 VoP Data Hosting Ingester v1</t>
        </is>
      </c>
      <c r="E10" s="10" t="inlineStr">
        <is>
          <t>SPD-2766</t>
        </is>
      </c>
      <c r="F10" s="10" t="inlineStr">
        <is>
          <t xml:space="preserve">Finalize Account Data Model </t>
        </is>
      </c>
      <c r="G10" s="22" t="n">
        <v>16</v>
      </c>
    </row>
    <row r="11">
      <c r="A11" s="10" t="inlineStr">
        <is>
          <t>Team Ikigai</t>
        </is>
      </c>
      <c r="B11" s="10" t="inlineStr">
        <is>
          <t>Juanma Tastzian</t>
        </is>
      </c>
      <c r="C11" s="10" t="inlineStr">
        <is>
          <t>SPD-2749</t>
        </is>
      </c>
      <c r="D11" s="10" t="inlineStr">
        <is>
          <t>SPD-2749 VoP Data Hosting Ingester v1</t>
        </is>
      </c>
      <c r="E11" s="10" t="inlineStr">
        <is>
          <t>SPD-2793</t>
        </is>
      </c>
      <c r="F11" s="10" t="inlineStr">
        <is>
          <t>Determine alias/index names</t>
        </is>
      </c>
      <c r="G11" s="22" t="n">
        <v>6.6667</v>
      </c>
    </row>
    <row r="12">
      <c r="A12" s="10" t="inlineStr">
        <is>
          <t>Team Ikigai</t>
        </is>
      </c>
      <c r="B12" s="10" t="inlineStr">
        <is>
          <t>Chaitanya Sagi</t>
        </is>
      </c>
      <c r="C12" s="10" t="inlineStr">
        <is>
          <t>SPD-2716</t>
        </is>
      </c>
      <c r="D12" s="10" t="inlineStr">
        <is>
          <t>SPD-2716 VoP Data Hosting Interation 1</t>
        </is>
      </c>
      <c r="E12" s="10" t="inlineStr">
        <is>
          <t>SPD-2740</t>
        </is>
      </c>
      <c r="F12" s="10" t="inlineStr">
        <is>
          <t>Create SFTP Server and S3 Setup</t>
        </is>
      </c>
      <c r="G12" s="22" t="n">
        <v>108</v>
      </c>
    </row>
    <row r="13">
      <c r="A13" s="10" t="inlineStr">
        <is>
          <t>Team Ikigai</t>
        </is>
      </c>
      <c r="B13" s="10" t="inlineStr">
        <is>
          <t>Chaitanya Sagi</t>
        </is>
      </c>
      <c r="C13" s="10" t="inlineStr">
        <is>
          <t>SPD-2716</t>
        </is>
      </c>
      <c r="D13" s="10" t="inlineStr">
        <is>
          <t>SPD-2716 VoP Data Hosting Interation 1</t>
        </is>
      </c>
      <c r="E13" s="10" t="inlineStr">
        <is>
          <t>SPD-2765</t>
        </is>
      </c>
      <c r="F13" s="10" t="inlineStr">
        <is>
          <t>Add VPC peering connection between ingress vp</t>
        </is>
      </c>
      <c r="G13" s="22" t="n">
        <v>8</v>
      </c>
    </row>
    <row r="14">
      <c r="A14" s="10" t="inlineStr">
        <is>
          <t>Team Ikigai</t>
        </is>
      </c>
      <c r="B14" s="10" t="inlineStr">
        <is>
          <t>Chaitanya Sagi</t>
        </is>
      </c>
      <c r="C14" s="10" t="inlineStr">
        <is>
          <t>SPD-2716</t>
        </is>
      </c>
      <c r="D14" s="10" t="inlineStr">
        <is>
          <t>SPD-2716 VoP Data Hosting Interation 1</t>
        </is>
      </c>
      <c r="E14" s="10" t="inlineStr">
        <is>
          <t>SPD-2781</t>
        </is>
      </c>
      <c r="F14" s="10" t="inlineStr">
        <is>
          <t>Decide about multiple or single SFTP server</t>
        </is>
      </c>
      <c r="G14" s="22" t="n">
        <v>4</v>
      </c>
    </row>
    <row r="15">
      <c r="A15" s="10" t="inlineStr">
        <is>
          <t>Team Ikigai</t>
        </is>
      </c>
      <c r="B15" s="10" t="inlineStr">
        <is>
          <t>Chaitanya Sagi</t>
        </is>
      </c>
      <c r="C15" s="10" t="inlineStr">
        <is>
          <t>SPD-2749</t>
        </is>
      </c>
      <c r="D15" s="10" t="inlineStr">
        <is>
          <t>SPD-2749 VoP Data Hosting Ingester v1</t>
        </is>
      </c>
      <c r="E15" s="10" t="inlineStr">
        <is>
          <t>SPD-2762</t>
        </is>
      </c>
      <c r="F15" s="10" t="inlineStr">
        <is>
          <t>Create Jenkins pipeline (compile, build and t</t>
        </is>
      </c>
      <c r="G15" s="22" t="n">
        <v>16</v>
      </c>
    </row>
    <row r="16">
      <c r="A16" s="10" t="inlineStr">
        <is>
          <t>Team Ikigai</t>
        </is>
      </c>
      <c r="B16" s="10" t="inlineStr">
        <is>
          <t>Chaitanya Sagi</t>
        </is>
      </c>
      <c r="C16" s="10" t="inlineStr">
        <is>
          <t>SPD-2749</t>
        </is>
      </c>
      <c r="D16" s="10" t="inlineStr">
        <is>
          <t>SPD-2749 VoP Data Hosting Ingester v1</t>
        </is>
      </c>
      <c r="E16" s="10" t="inlineStr">
        <is>
          <t>SPD-2763</t>
        </is>
      </c>
      <c r="F16" s="10" t="inlineStr">
        <is>
          <t>Configure branch protection just before closi</t>
        </is>
      </c>
      <c r="G16" s="22" t="n">
        <v>8</v>
      </c>
    </row>
    <row r="17">
      <c r="A17" s="10" t="inlineStr">
        <is>
          <t>Team Ikigai</t>
        </is>
      </c>
      <c r="B17" s="10" t="inlineStr">
        <is>
          <t>Manali Shah</t>
        </is>
      </c>
      <c r="C17" s="10" t="inlineStr">
        <is>
          <t>SPD-2716</t>
        </is>
      </c>
      <c r="D17" s="10" t="inlineStr">
        <is>
          <t>SPD-2716 VoP Data Hosting Interation 1</t>
        </is>
      </c>
      <c r="E17" s="10" t="inlineStr">
        <is>
          <t>SPD-2743</t>
        </is>
      </c>
      <c r="F17" s="10" t="inlineStr">
        <is>
          <t>Build Offline VoP Accounts API</t>
        </is>
      </c>
      <c r="G17" s="22" t="n">
        <v>66.66670000000001</v>
      </c>
    </row>
    <row r="18">
      <c r="A18" s="10" t="inlineStr">
        <is>
          <t>Team Ikigai</t>
        </is>
      </c>
      <c r="B18" s="10" t="inlineStr">
        <is>
          <t>Manali Shah</t>
        </is>
      </c>
      <c r="C18" s="10" t="inlineStr">
        <is>
          <t>SPD-2716</t>
        </is>
      </c>
      <c r="D18" s="10" t="inlineStr">
        <is>
          <t>SPD-2716 VoP Data Hosting Interation 1</t>
        </is>
      </c>
      <c r="E18" s="10" t="inlineStr">
        <is>
          <t>SPD-2780</t>
        </is>
      </c>
      <c r="F18" s="10" t="inlineStr">
        <is>
          <t>Add basic field validations for Accounts</t>
        </is>
      </c>
      <c r="G18" s="22" t="n">
        <v>36</v>
      </c>
    </row>
    <row r="19">
      <c r="A19" s="10" t="inlineStr">
        <is>
          <t>Team Ikigai</t>
        </is>
      </c>
      <c r="B19" s="10" t="inlineStr">
        <is>
          <t>Manali Shah</t>
        </is>
      </c>
      <c r="C19" s="10" t="inlineStr">
        <is>
          <t>SPD-2716</t>
        </is>
      </c>
      <c r="D19" s="10" t="inlineStr">
        <is>
          <t>SPD-2716 VoP Data Hosting Interation 1</t>
        </is>
      </c>
      <c r="E19" s="10" t="inlineStr">
        <is>
          <t>SPD-2779</t>
        </is>
      </c>
      <c r="F19" s="10" t="inlineStr">
        <is>
          <t>Translate Account data model to Java code</t>
        </is>
      </c>
      <c r="G19" s="22" t="n">
        <v>26.6667</v>
      </c>
    </row>
    <row r="20">
      <c r="A20" s="10" t="inlineStr">
        <is>
          <t>Team Ikigai</t>
        </is>
      </c>
      <c r="B20" s="10" t="inlineStr">
        <is>
          <t>Sridhar Gnanasekaran</t>
        </is>
      </c>
      <c r="C20" s="10" t="inlineStr">
        <is>
          <t>SPD-2716</t>
        </is>
      </c>
      <c r="D20" s="10" t="inlineStr">
        <is>
          <t>SPD-2716 VoP Data Hosting Interation 1</t>
        </is>
      </c>
      <c r="E20" s="10" t="inlineStr">
        <is>
          <t>SPD-2775</t>
        </is>
      </c>
      <c r="F20" s="10" t="inlineStr">
        <is>
          <t>Create Meta data index</t>
        </is>
      </c>
      <c r="G20" s="22" t="n">
        <v>46.6667</v>
      </c>
    </row>
    <row r="21">
      <c r="A21" s="10" t="inlineStr">
        <is>
          <t>Team Ikigai</t>
        </is>
      </c>
      <c r="B21" s="10" t="inlineStr">
        <is>
          <t>Sridhar Gnanasekaran</t>
        </is>
      </c>
      <c r="C21" s="10" t="inlineStr">
        <is>
          <t>SPD-2716</t>
        </is>
      </c>
      <c r="D21" s="10" t="inlineStr">
        <is>
          <t>SPD-2716 VoP Data Hosting Interation 1</t>
        </is>
      </c>
      <c r="E21" s="10" t="inlineStr">
        <is>
          <t>SPD-2789</t>
        </is>
      </c>
      <c r="F21" s="10" t="inlineStr">
        <is>
          <t>Create/update config YAML file and push to gi</t>
        </is>
      </c>
      <c r="G21" s="22" t="n">
        <v>20</v>
      </c>
    </row>
    <row r="22">
      <c r="A22" s="10" t="inlineStr">
        <is>
          <t>Team Ikigai</t>
        </is>
      </c>
      <c r="B22" s="10" t="inlineStr">
        <is>
          <t>Sridhar Gnanasekaran</t>
        </is>
      </c>
      <c r="C22" s="10" t="inlineStr">
        <is>
          <t>SPD-2716</t>
        </is>
      </c>
      <c r="D22" s="10" t="inlineStr">
        <is>
          <t>SPD-2716 VoP Data Hosting Interation 1</t>
        </is>
      </c>
      <c r="E22" s="10" t="inlineStr">
        <is>
          <t>SPD-2785</t>
        </is>
      </c>
      <c r="F22" s="10" t="inlineStr">
        <is>
          <t>Create skeleton structure</t>
        </is>
      </c>
      <c r="G22" s="22" t="n">
        <v>10.6667</v>
      </c>
    </row>
    <row r="23">
      <c r="A23" s="10" t="inlineStr">
        <is>
          <t>Team Ikigai</t>
        </is>
      </c>
      <c r="B23" s="10" t="inlineStr">
        <is>
          <t>Sridhar Gnanasekaran</t>
        </is>
      </c>
      <c r="C23" s="10" t="inlineStr">
        <is>
          <t>SPD-2716</t>
        </is>
      </c>
      <c r="D23" s="10" t="inlineStr">
        <is>
          <t>SPD-2716 VoP Data Hosting Interation 1</t>
        </is>
      </c>
      <c r="E23" s="10" t="inlineStr">
        <is>
          <t>SPD-2756</t>
        </is>
      </c>
      <c r="F23" s="10" t="inlineStr">
        <is>
          <t>Create VoP onboarding pipeline</t>
        </is>
      </c>
      <c r="G23" s="22" t="n">
        <v>6.6667</v>
      </c>
    </row>
    <row r="24">
      <c r="A24" s="10" t="inlineStr">
        <is>
          <t>Team Ikigai</t>
        </is>
      </c>
      <c r="B24" s="10" t="inlineStr">
        <is>
          <t>Sridhar Gnanasekaran</t>
        </is>
      </c>
      <c r="C24" s="10" t="inlineStr">
        <is>
          <t>SPD-2716</t>
        </is>
      </c>
      <c r="D24" s="10" t="inlineStr">
        <is>
          <t>SPD-2716 VoP Data Hosting Interation 1</t>
        </is>
      </c>
      <c r="E24" s="10" t="inlineStr">
        <is>
          <t>SPD-2800</t>
        </is>
      </c>
      <c r="F24" s="10" t="inlineStr">
        <is>
          <t>Create Data Model</t>
        </is>
      </c>
      <c r="G24" s="22" t="n">
        <v>4</v>
      </c>
    </row>
    <row r="25">
      <c r="A25" s="10" t="inlineStr">
        <is>
          <t>Team Ikigai</t>
        </is>
      </c>
      <c r="B25" s="10" t="inlineStr">
        <is>
          <t>Ina Nichitean</t>
        </is>
      </c>
      <c r="C25" s="10" t="inlineStr">
        <is>
          <t>SPD-2716</t>
        </is>
      </c>
      <c r="D25" s="10" t="inlineStr">
        <is>
          <t>SPD-2716 VoP Data Hosting Interation 1</t>
        </is>
      </c>
      <c r="E25" s="10" t="inlineStr">
        <is>
          <t>SPD-2787</t>
        </is>
      </c>
      <c r="F25" s="10" t="inlineStr">
        <is>
          <t>Validation of inputs and files (SSH pub key a</t>
        </is>
      </c>
      <c r="G25" s="22" t="n">
        <v>32</v>
      </c>
    </row>
    <row r="26">
      <c r="A26" s="10" t="inlineStr">
        <is>
          <t>Team Ikigai</t>
        </is>
      </c>
      <c r="B26" s="10" t="inlineStr">
        <is>
          <t>Ina Nichitean</t>
        </is>
      </c>
      <c r="C26" s="10" t="inlineStr">
        <is>
          <t>SPD-2716</t>
        </is>
      </c>
      <c r="D26" s="10" t="inlineStr">
        <is>
          <t>SPD-2716 VoP Data Hosting Interation 1</t>
        </is>
      </c>
      <c r="E26" s="10" t="inlineStr">
        <is>
          <t>SPD-2786</t>
        </is>
      </c>
      <c r="F26" s="10" t="inlineStr">
        <is>
          <t xml:space="preserve">Create Jenkins pipeline in both TST and PROD </t>
        </is>
      </c>
      <c r="G26" s="22" t="n">
        <v>12</v>
      </c>
    </row>
    <row r="27">
      <c r="A27" s="10" t="inlineStr">
        <is>
          <t>Team Ikigai</t>
        </is>
      </c>
      <c r="B27" s="10" t="inlineStr">
        <is>
          <t>Ina Nichitean</t>
        </is>
      </c>
      <c r="C27" s="10" t="inlineStr">
        <is>
          <t>SPD-2716</t>
        </is>
      </c>
      <c r="D27" s="10" t="inlineStr">
        <is>
          <t>SPD-2716 VoP Data Hosting Interation 1</t>
        </is>
      </c>
      <c r="E27" s="10" t="inlineStr">
        <is>
          <t>SPD-2789</t>
        </is>
      </c>
      <c r="F27" s="10" t="inlineStr">
        <is>
          <t>Create/update config YAML file and push to gi</t>
        </is>
      </c>
      <c r="G27" s="22" t="n">
        <v>4</v>
      </c>
    </row>
    <row r="28">
      <c r="A28" s="10" t="inlineStr">
        <is>
          <t>Team Ikigai</t>
        </is>
      </c>
      <c r="B28" s="10" t="inlineStr">
        <is>
          <t>Diego Silva</t>
        </is>
      </c>
      <c r="C28" s="10" t="inlineStr">
        <is>
          <t>SPD-2749</t>
        </is>
      </c>
      <c r="D28" s="10" t="inlineStr">
        <is>
          <t>SPD-2749 VoP Data Hosting Ingester v1</t>
        </is>
      </c>
      <c r="E28" s="10" t="inlineStr">
        <is>
          <t>SPD-2776</t>
        </is>
      </c>
      <c r="F28" s="10" t="inlineStr">
        <is>
          <t>Create ECS Ingester cluster</t>
        </is>
      </c>
      <c r="G28" s="22" t="n">
        <v>44</v>
      </c>
    </row>
    <row r="29">
      <c r="A29" s="10" t="inlineStr">
        <is>
          <t>Team Samba</t>
        </is>
      </c>
      <c r="B29" s="10" t="inlineStr">
        <is>
          <t>Orwa Badran</t>
        </is>
      </c>
      <c r="C29" s="10" t="inlineStr">
        <is>
          <t>SDO-5021</t>
        </is>
      </c>
      <c r="D29" s="10" t="inlineStr">
        <is>
          <t xml:space="preserve">SDO-5021 Service Improvements </t>
        </is>
      </c>
      <c r="E29" s="10" t="inlineStr">
        <is>
          <t>SDO-7133</t>
        </is>
      </c>
      <c r="F29" s="10" t="inlineStr">
        <is>
          <t xml:space="preserve">[MBDL] Migrate the test data migrator as new </t>
        </is>
      </c>
      <c r="G29" s="22" t="n">
        <v>15.3333</v>
      </c>
    </row>
    <row r="30">
      <c r="A30" s="10" t="inlineStr">
        <is>
          <t>Team Samba</t>
        </is>
      </c>
      <c r="B30" s="10" t="inlineStr">
        <is>
          <t>Orwa Badran</t>
        </is>
      </c>
      <c r="C30" s="10" t="inlineStr">
        <is>
          <t>SDO-6876</t>
        </is>
      </c>
      <c r="D30" s="10" t="inlineStr">
        <is>
          <t>SDO-6876 VoP Gateway solution</t>
        </is>
      </c>
      <c r="E30" s="10" t="inlineStr">
        <is>
          <t>SDO-7106</t>
        </is>
      </c>
      <c r="F30" s="10" t="inlineStr">
        <is>
          <t>[ORG API] Populate new fields in the new vers</t>
        </is>
      </c>
      <c r="G30" s="22" t="n">
        <v>52.6667</v>
      </c>
    </row>
    <row r="31">
      <c r="A31" s="10" t="inlineStr">
        <is>
          <t>Team Samba</t>
        </is>
      </c>
      <c r="B31" s="10" t="inlineStr">
        <is>
          <t>Orwa Badran</t>
        </is>
      </c>
      <c r="C31" s="10" t="inlineStr">
        <is>
          <t>SDO-6876</t>
        </is>
      </c>
      <c r="D31" s="10" t="inlineStr">
        <is>
          <t>SDO-6876 VoP Gateway solution</t>
        </is>
      </c>
      <c r="E31" s="10" t="inlineStr">
        <is>
          <t>SDO-7108</t>
        </is>
      </c>
      <c r="F31" s="10" t="inlineStr">
        <is>
          <t>[ORG API] Move the response mapping to the pi</t>
        </is>
      </c>
      <c r="G31" s="22" t="n">
        <v>48.6667</v>
      </c>
    </row>
    <row r="32">
      <c r="A32" s="10" t="inlineStr">
        <is>
          <t>Team Samba</t>
        </is>
      </c>
      <c r="B32" s="10" t="inlineStr">
        <is>
          <t>Orwa Badran</t>
        </is>
      </c>
      <c r="C32" s="10" t="inlineStr">
        <is>
          <t>SDO-6876</t>
        </is>
      </c>
      <c r="D32" s="10" t="inlineStr">
        <is>
          <t>SDO-6876 VoP Gateway solution</t>
        </is>
      </c>
      <c r="E32" s="10" t="inlineStr">
        <is>
          <t>SDO-7086</t>
        </is>
      </c>
      <c r="F32" s="10" t="inlineStr">
        <is>
          <t>[VoP Gateway] Add new fields into ORG v2 API</t>
        </is>
      </c>
      <c r="G32" s="22" t="n">
        <v>38.6667</v>
      </c>
    </row>
    <row r="33">
      <c r="A33" s="10" t="inlineStr">
        <is>
          <t>Team Samba</t>
        </is>
      </c>
      <c r="B33" s="10" t="inlineStr">
        <is>
          <t>Orwa Badran</t>
        </is>
      </c>
      <c r="C33" s="10" t="inlineStr">
        <is>
          <t>SDO-6876</t>
        </is>
      </c>
      <c r="D33" s="10" t="inlineStr">
        <is>
          <t>SDO-6876 VoP Gateway solution</t>
        </is>
      </c>
      <c r="E33" s="10" t="inlineStr">
        <is>
          <t>SDO-7078</t>
        </is>
      </c>
      <c r="F33" s="10" t="inlineStr">
        <is>
          <t>[VoP Gateway] Create the VoP Gateway service</t>
        </is>
      </c>
      <c r="G33" s="22" t="n">
        <v>12</v>
      </c>
    </row>
    <row r="34">
      <c r="A34" s="10" t="inlineStr">
        <is>
          <t>Team Samba</t>
        </is>
      </c>
      <c r="B34" s="10" t="inlineStr">
        <is>
          <t>Orwa Badran</t>
        </is>
      </c>
      <c r="C34" s="10" t="inlineStr">
        <is>
          <t>SDO-6876</t>
        </is>
      </c>
      <c r="D34" s="10" t="inlineStr">
        <is>
          <t>SDO-6876 VoP Gateway solution</t>
        </is>
      </c>
      <c r="E34" s="10" t="inlineStr">
        <is>
          <t>SDO-7123</t>
        </is>
      </c>
      <c r="F34" s="10" t="inlineStr">
        <is>
          <t>[VoP Gateway] Create integration tests and ex</t>
        </is>
      </c>
      <c r="G34" s="22" t="n">
        <v>9.333299999999999</v>
      </c>
    </row>
    <row r="35">
      <c r="A35" s="10" t="inlineStr">
        <is>
          <t>Team Samba</t>
        </is>
      </c>
      <c r="B35" s="10" t="inlineStr">
        <is>
          <t>Orwa Badran</t>
        </is>
      </c>
      <c r="C35" s="10" t="inlineStr">
        <is>
          <t>SDO-6876</t>
        </is>
      </c>
      <c r="D35" s="10" t="inlineStr">
        <is>
          <t>SDO-6876 VoP Gateway solution</t>
        </is>
      </c>
      <c r="E35" s="10" t="inlineStr">
        <is>
          <t>SDO-7126</t>
        </is>
      </c>
      <c r="F35" s="10" t="inlineStr">
        <is>
          <t xml:space="preserve">[VoP Gateway] Add errors and examples to the </t>
        </is>
      </c>
      <c r="G35" s="22" t="n">
        <v>7.3333</v>
      </c>
    </row>
    <row r="36">
      <c r="A36" s="10" t="inlineStr">
        <is>
          <t>Team Samba</t>
        </is>
      </c>
      <c r="B36" s="10" t="inlineStr">
        <is>
          <t>Ismail Kuyu</t>
        </is>
      </c>
      <c r="C36" s="10" t="inlineStr">
        <is>
          <t>SDO-6876</t>
        </is>
      </c>
      <c r="D36" s="10" t="inlineStr">
        <is>
          <t>SDO-6876 VoP Gateway solution</t>
        </is>
      </c>
      <c r="E36" s="10" t="inlineStr">
        <is>
          <t>SDO-7097</t>
        </is>
      </c>
      <c r="F36" s="10" t="inlineStr">
        <is>
          <t>[VoP Gateway] Create performance testing infr</t>
        </is>
      </c>
      <c r="G36" s="22" t="n">
        <v>54.6667</v>
      </c>
    </row>
    <row r="37">
      <c r="A37" s="10" t="inlineStr">
        <is>
          <t>Team Samba</t>
        </is>
      </c>
      <c r="B37" s="10" t="inlineStr">
        <is>
          <t>Ismail Kuyu</t>
        </is>
      </c>
      <c r="C37" s="10" t="inlineStr">
        <is>
          <t>SDO-6876</t>
        </is>
      </c>
      <c r="D37" s="10" t="inlineStr">
        <is>
          <t>SDO-6876 VoP Gateway solution</t>
        </is>
      </c>
      <c r="E37" s="10" t="inlineStr">
        <is>
          <t>SDO-7079</t>
        </is>
      </c>
      <c r="F37" s="10" t="inlineStr">
        <is>
          <t xml:space="preserve">[VoP Gateway] Create the mapping between VoP </t>
        </is>
      </c>
      <c r="G37" s="22" t="n">
        <v>52</v>
      </c>
    </row>
    <row r="38">
      <c r="A38" s="10" t="inlineStr">
        <is>
          <t>Team Samba</t>
        </is>
      </c>
      <c r="B38" s="10" t="inlineStr">
        <is>
          <t>Ismail Kuyu</t>
        </is>
      </c>
      <c r="C38" s="10" t="inlineStr">
        <is>
          <t>SDO-6876</t>
        </is>
      </c>
      <c r="D38" s="10" t="inlineStr">
        <is>
          <t>SDO-6876 VoP Gateway solution</t>
        </is>
      </c>
      <c r="E38" s="10" t="inlineStr">
        <is>
          <t>SDO-7107</t>
        </is>
      </c>
      <c r="F38" s="10" t="inlineStr">
        <is>
          <t>[Investigation] Define the way that the VOP p</t>
        </is>
      </c>
      <c r="G38" s="22" t="n">
        <v>22.6667</v>
      </c>
    </row>
    <row r="39">
      <c r="A39" s="10" t="inlineStr">
        <is>
          <t>Team Samba</t>
        </is>
      </c>
      <c r="B39" s="10" t="inlineStr">
        <is>
          <t>Sandhya Pai</t>
        </is>
      </c>
      <c r="C39" s="10" t="inlineStr">
        <is>
          <t>SDO-5021</t>
        </is>
      </c>
      <c r="D39" s="10" t="inlineStr">
        <is>
          <t xml:space="preserve">SDO-5021 Service Improvements </t>
        </is>
      </c>
      <c r="E39" s="10" t="inlineStr">
        <is>
          <t>SDO-7041</t>
        </is>
      </c>
      <c r="F39" s="10" t="inlineStr">
        <is>
          <t>[java-dataprovisioning-nl] Investigate the fi</t>
        </is>
      </c>
      <c r="G39" s="22" t="n">
        <v>25.3333</v>
      </c>
    </row>
    <row r="40">
      <c r="A40" s="10" t="inlineStr">
        <is>
          <t>Team Samba</t>
        </is>
      </c>
      <c r="B40" s="10" t="inlineStr">
        <is>
          <t>Sandhya Pai</t>
        </is>
      </c>
      <c r="C40" s="10" t="inlineStr">
        <is>
          <t>SDO-6876</t>
        </is>
      </c>
      <c r="D40" s="10" t="inlineStr">
        <is>
          <t>SDO-6876 VoP Gateway solution</t>
        </is>
      </c>
      <c r="E40" s="10" t="inlineStr">
        <is>
          <t>SDO-7077</t>
        </is>
      </c>
      <c r="F40" s="10" t="inlineStr">
        <is>
          <t>[VoP Gateway] Create Apigee proxy for new end</t>
        </is>
      </c>
      <c r="G40" s="22" t="n">
        <v>49.3333</v>
      </c>
    </row>
    <row r="41">
      <c r="A41" s="10" t="inlineStr">
        <is>
          <t>Team Samba</t>
        </is>
      </c>
      <c r="B41" s="10" t="inlineStr">
        <is>
          <t>Sandhya Pai</t>
        </is>
      </c>
      <c r="C41" s="10" t="inlineStr">
        <is>
          <t>SDO-6876</t>
        </is>
      </c>
      <c r="D41" s="10" t="inlineStr">
        <is>
          <t>SDO-6876 VoP Gateway solution</t>
        </is>
      </c>
      <c r="E41" s="10" t="inlineStr">
        <is>
          <t>SDO-7089</t>
        </is>
      </c>
      <c r="F41" s="10" t="inlineStr">
        <is>
          <t xml:space="preserve">[ORG API] Investigate whether the new fields </t>
        </is>
      </c>
      <c r="G41" s="22" t="n">
        <v>48</v>
      </c>
    </row>
    <row r="42">
      <c r="A42" s="10" t="inlineStr">
        <is>
          <t>Team Samba</t>
        </is>
      </c>
      <c r="B42" s="10" t="inlineStr">
        <is>
          <t>Iakovos Belonias</t>
        </is>
      </c>
      <c r="C42" s="10" t="inlineStr">
        <is>
          <t>SDO-5021</t>
        </is>
      </c>
      <c r="D42" s="10" t="inlineStr">
        <is>
          <t xml:space="preserve">SDO-5021 Service Improvements </t>
        </is>
      </c>
      <c r="E42" s="10" t="inlineStr">
        <is>
          <t>SDO-6915</t>
        </is>
      </c>
      <c r="F42" s="10" t="inlineStr">
        <is>
          <t>Decommission unused resources in /infra-nl/_i</t>
        </is>
      </c>
      <c r="G42" s="22" t="n">
        <v>76.66670000000001</v>
      </c>
    </row>
    <row r="43">
      <c r="A43" s="10" t="inlineStr">
        <is>
          <t>Team Samba</t>
        </is>
      </c>
      <c r="B43" s="10" t="inlineStr">
        <is>
          <t>Iakovos Belonias</t>
        </is>
      </c>
      <c r="C43" s="10" t="inlineStr">
        <is>
          <t>SDO-5021</t>
        </is>
      </c>
      <c r="D43" s="10" t="inlineStr">
        <is>
          <t xml:space="preserve">SDO-5021 Service Improvements </t>
        </is>
      </c>
      <c r="E43" s="10" t="inlineStr">
        <is>
          <t>SDO-7121</t>
        </is>
      </c>
      <c r="F43" s="10" t="inlineStr">
        <is>
          <t>Migrate Lambdas that are on no ad vpc</t>
        </is>
      </c>
      <c r="G43" s="22" t="n">
        <v>21.3333</v>
      </c>
    </row>
    <row r="44">
      <c r="A44" s="10" t="inlineStr">
        <is>
          <t>Team Samba</t>
        </is>
      </c>
      <c r="B44" s="10" t="inlineStr">
        <is>
          <t>Iakovos Belonias</t>
        </is>
      </c>
      <c r="C44" s="10" t="inlineStr">
        <is>
          <t>SDO-5021</t>
        </is>
      </c>
      <c r="D44" s="10" t="inlineStr">
        <is>
          <t xml:space="preserve">SDO-5021 Service Improvements </t>
        </is>
      </c>
      <c r="E44" s="10" t="inlineStr">
        <is>
          <t>SDO-7143</t>
        </is>
      </c>
      <c r="F44" s="10" t="inlineStr">
        <is>
          <t>Delete old unencrypted data from KBCNL SFTP f</t>
        </is>
      </c>
      <c r="G44" s="22" t="n">
        <v>5.3333</v>
      </c>
    </row>
    <row r="45">
      <c r="A45" s="10" t="inlineStr">
        <is>
          <t>Team Samba</t>
        </is>
      </c>
      <c r="B45" s="10" t="inlineStr">
        <is>
          <t>Iakovos Belonias</t>
        </is>
      </c>
      <c r="C45" s="10" t="inlineStr">
        <is>
          <t>SDO-5021</t>
        </is>
      </c>
      <c r="D45" s="10" t="inlineStr">
        <is>
          <t xml:space="preserve">SDO-5021 Service Improvements </t>
        </is>
      </c>
      <c r="E45" s="10" t="inlineStr">
        <is>
          <t>SDO-7142</t>
        </is>
      </c>
      <c r="F45" s="10" t="inlineStr">
        <is>
          <t>remove Sid: "Allow_RoleRealtimeIngestApi_GetL</t>
        </is>
      </c>
      <c r="G45" s="22" t="n">
        <v>2</v>
      </c>
    </row>
    <row r="46">
      <c r="A46" s="10" t="inlineStr">
        <is>
          <t>Team Samba</t>
        </is>
      </c>
      <c r="B46" s="10" t="inlineStr">
        <is>
          <t>Ioannis Argyroulis</t>
        </is>
      </c>
      <c r="C46" s="10" t="inlineStr">
        <is>
          <t>SDO-5021</t>
        </is>
      </c>
      <c r="D46" s="10" t="inlineStr">
        <is>
          <t xml:space="preserve">SDO-5021 Service Improvements </t>
        </is>
      </c>
      <c r="E46" s="10" t="inlineStr">
        <is>
          <t>SDO-7132</t>
        </is>
      </c>
      <c r="F46" s="10" t="inlineStr">
        <is>
          <t>[Data Provisioning] Replace old online provis</t>
        </is>
      </c>
      <c r="G46" s="22" t="n">
        <v>33.3333</v>
      </c>
    </row>
    <row r="47">
      <c r="A47" s="10" t="inlineStr">
        <is>
          <t>Team Samba</t>
        </is>
      </c>
      <c r="B47" s="10" t="inlineStr">
        <is>
          <t>Ioannis Argyroulis</t>
        </is>
      </c>
      <c r="C47" s="10" t="inlineStr">
        <is>
          <t>SDO-5021</t>
        </is>
      </c>
      <c r="D47" s="10" t="inlineStr">
        <is>
          <t xml:space="preserve">SDO-5021 Service Improvements </t>
        </is>
      </c>
      <c r="E47" s="10" t="inlineStr">
        <is>
          <t>SDO-7072</t>
        </is>
      </c>
      <c r="F47" s="10" t="inlineStr">
        <is>
          <t>[Investigation] How to update the Post code f</t>
        </is>
      </c>
      <c r="G47" s="22" t="n">
        <v>9.333299999999999</v>
      </c>
    </row>
    <row r="48">
      <c r="A48" s="10" t="inlineStr">
        <is>
          <t>Team Samba</t>
        </is>
      </c>
      <c r="B48" s="10" t="inlineStr">
        <is>
          <t>Ioannis Argyroulis</t>
        </is>
      </c>
      <c r="C48" s="10" t="inlineStr">
        <is>
          <t>SDO-5021</t>
        </is>
      </c>
      <c r="D48" s="10" t="inlineStr">
        <is>
          <t xml:space="preserve">SDO-5021 Service Improvements </t>
        </is>
      </c>
      <c r="E48" s="10" t="inlineStr">
        <is>
          <t>SDO-7153</t>
        </is>
      </c>
      <c r="F48" s="10" t="inlineStr">
        <is>
          <t>[Online Data Provisioning] Build a Swagger YA</t>
        </is>
      </c>
      <c r="G48" s="22" t="n">
        <v>8</v>
      </c>
    </row>
    <row r="49">
      <c r="A49" s="10" t="inlineStr">
        <is>
          <t>Team Samba</t>
        </is>
      </c>
      <c r="B49" s="10" t="inlineStr">
        <is>
          <t>Ioannis Argyroulis</t>
        </is>
      </c>
      <c r="C49" s="10" t="inlineStr">
        <is>
          <t>SDO-5021</t>
        </is>
      </c>
      <c r="D49" s="10" t="inlineStr">
        <is>
          <t xml:space="preserve">SDO-5021 Service Improvements </t>
        </is>
      </c>
      <c r="E49" s="10" t="inlineStr">
        <is>
          <t>SDO-7147</t>
        </is>
      </c>
      <c r="F49" s="10" t="inlineStr">
        <is>
          <t>[Postcode File Update] Update the postcode fi</t>
        </is>
      </c>
      <c r="G49" s="22" t="n">
        <v>2.6667</v>
      </c>
    </row>
    <row r="50">
      <c r="A50" s="10" t="inlineStr">
        <is>
          <t>Team Samba</t>
        </is>
      </c>
      <c r="B50" s="10" t="inlineStr">
        <is>
          <t>Ioannis Argyroulis</t>
        </is>
      </c>
      <c r="C50" s="10" t="inlineStr">
        <is>
          <t>SDO-6876</t>
        </is>
      </c>
      <c r="D50" s="10" t="inlineStr">
        <is>
          <t>SDO-6876 VoP Gateway solution</t>
        </is>
      </c>
      <c r="E50" s="10" t="inlineStr">
        <is>
          <t>SDO-7080</t>
        </is>
      </c>
      <c r="F50" s="10" t="inlineStr">
        <is>
          <t>[VoP Gateway] Create the router client</t>
        </is>
      </c>
      <c r="G50" s="22" t="n">
        <v>4</v>
      </c>
    </row>
    <row r="51">
      <c r="A51" s="10" t="inlineStr">
        <is>
          <t>Team Samba</t>
        </is>
      </c>
      <c r="B51" s="10" t="inlineStr">
        <is>
          <t>Ioannis Argyroulis</t>
        </is>
      </c>
      <c r="C51" s="10" t="inlineStr">
        <is>
          <t>SDO-7144</t>
        </is>
      </c>
      <c r="D51" s="10" t="inlineStr">
        <is>
          <t>SDO-7144 VoP Bank API extended</t>
        </is>
      </c>
      <c r="E51" s="10" t="inlineStr">
        <is>
          <t>SDO-7119</t>
        </is>
      </c>
      <c r="F51" s="10" t="inlineStr">
        <is>
          <t>[Bankv2 Bridge] Create swagger yaml for the B</t>
        </is>
      </c>
      <c r="G51" s="22" t="n">
        <v>38.6667</v>
      </c>
    </row>
    <row r="52">
      <c r="A52" s="10" t="inlineStr">
        <is>
          <t>Team Samba</t>
        </is>
      </c>
      <c r="B52" s="10" t="inlineStr">
        <is>
          <t>Rachel Guzman V</t>
        </is>
      </c>
      <c r="C52" s="10" t="inlineStr">
        <is>
          <t>SDO-6876</t>
        </is>
      </c>
      <c r="D52" s="10" t="inlineStr">
        <is>
          <t>SDO-6876 VoP Gateway solution</t>
        </is>
      </c>
      <c r="E52" s="10" t="inlineStr">
        <is>
          <t>SDO-7051</t>
        </is>
      </c>
      <c r="F52" s="10" t="inlineStr">
        <is>
          <t>[VoP Gateway] Define the 400 errors codes</t>
        </is>
      </c>
      <c r="G52" s="22" t="n">
        <v>80</v>
      </c>
    </row>
    <row r="53">
      <c r="A53" s="10" t="inlineStr">
        <is>
          <t>Team Samba</t>
        </is>
      </c>
      <c r="B53" s="10" t="inlineStr">
        <is>
          <t>Muhammad Sulaiman</t>
        </is>
      </c>
      <c r="C53" s="10" t="inlineStr">
        <is>
          <t>SDO-5021</t>
        </is>
      </c>
      <c r="D53" s="10" t="inlineStr">
        <is>
          <t xml:space="preserve">SDO-5021 Service Improvements </t>
        </is>
      </c>
      <c r="E53" s="10" t="inlineStr">
        <is>
          <t>SDO-7063</t>
        </is>
      </c>
      <c r="F53" s="10" t="inlineStr">
        <is>
          <t>Reduce RAM and Type of instance on Audit clus</t>
        </is>
      </c>
      <c r="G53" s="22" t="n">
        <v>13.3333</v>
      </c>
    </row>
    <row r="54">
      <c r="A54" s="10" t="inlineStr">
        <is>
          <t>Team Samba</t>
        </is>
      </c>
      <c r="B54" s="10" t="inlineStr">
        <is>
          <t>Muhammad Sulaiman</t>
        </is>
      </c>
      <c r="C54" s="10" t="inlineStr">
        <is>
          <t>SDO-5021</t>
        </is>
      </c>
      <c r="D54" s="10" t="inlineStr">
        <is>
          <t xml:space="preserve">SDO-5021 Service Improvements </t>
        </is>
      </c>
      <c r="E54" s="10" t="inlineStr">
        <is>
          <t>SDO-7118</t>
        </is>
      </c>
      <c r="F54" s="10" t="inlineStr">
        <is>
          <t>January patch management</t>
        </is>
      </c>
      <c r="G54" s="22" t="n">
        <v>6</v>
      </c>
    </row>
    <row r="55">
      <c r="A55" s="10" t="inlineStr">
        <is>
          <t>Team Samba</t>
        </is>
      </c>
      <c r="B55" s="10" t="inlineStr">
        <is>
          <t>Muhammad Sulaiman</t>
        </is>
      </c>
      <c r="C55" s="10" t="inlineStr">
        <is>
          <t>SDO-6876</t>
        </is>
      </c>
      <c r="D55" s="10" t="inlineStr">
        <is>
          <t>SDO-6876 VoP Gateway solution</t>
        </is>
      </c>
      <c r="E55" s="10" t="inlineStr">
        <is>
          <t>SDO-7096</t>
        </is>
      </c>
      <c r="F55" s="10" t="inlineStr">
        <is>
          <t>[VoP gateway] Create infra part for the servi</t>
        </is>
      </c>
      <c r="G55" s="22" t="n">
        <v>10</v>
      </c>
    </row>
    <row r="56">
      <c r="A56" s="10" t="inlineStr">
        <is>
          <t>Team Samba</t>
        </is>
      </c>
      <c r="B56" s="10" t="inlineStr">
        <is>
          <t>Sheik Farzand Razi</t>
        </is>
      </c>
      <c r="C56" s="10" t="inlineStr">
        <is>
          <t>SDO-5021</t>
        </is>
      </c>
      <c r="D56" s="10" t="inlineStr">
        <is>
          <t xml:space="preserve">SDO-5021 Service Improvements </t>
        </is>
      </c>
      <c r="E56" s="10" t="inlineStr">
        <is>
          <t>SDO-7134</t>
        </is>
      </c>
      <c r="F56" s="10" t="inlineStr">
        <is>
          <t>[MBDL] Make the test data migrator as new dep</t>
        </is>
      </c>
      <c r="G56" s="22" t="n">
        <v>16</v>
      </c>
    </row>
    <row r="57">
      <c r="A57" s="10" t="inlineStr">
        <is>
          <t>YODA</t>
        </is>
      </c>
      <c r="B57" s="10" t="inlineStr">
        <is>
          <t>Keerthi Shankar</t>
        </is>
      </c>
      <c r="C57" s="10" t="inlineStr">
        <is>
          <t>YODA-1338</t>
        </is>
      </c>
      <c r="D57" s="10" t="inlineStr">
        <is>
          <t>YODA-1338 Auditing &amp; Dashboard POCs</t>
        </is>
      </c>
      <c r="E57" s="10" t="inlineStr">
        <is>
          <t>YODA-1351</t>
        </is>
      </c>
      <c r="F57" s="10" t="inlineStr">
        <is>
          <t>[POC] "Middleware" discovery</t>
        </is>
      </c>
      <c r="G57" s="22" t="n">
        <v>148</v>
      </c>
    </row>
    <row r="58">
      <c r="A58" s="10" t="inlineStr">
        <is>
          <t>YODA</t>
        </is>
      </c>
      <c r="B58" s="10" t="inlineStr">
        <is>
          <t>Keerthi Shankar</t>
        </is>
      </c>
      <c r="C58" s="10" t="inlineStr">
        <is>
          <t>YODA-1338</t>
        </is>
      </c>
      <c r="D58" s="10" t="inlineStr">
        <is>
          <t>YODA-1338 Auditing &amp; Dashboard POCs</t>
        </is>
      </c>
      <c r="E58" s="10" t="inlineStr">
        <is>
          <t>YODA-1333</t>
        </is>
      </c>
      <c r="F58" s="10" t="inlineStr">
        <is>
          <t>[POC] Test index rollover mechanism</t>
        </is>
      </c>
      <c r="G58" s="22" t="n">
        <v>13.3333</v>
      </c>
    </row>
    <row r="59">
      <c r="A59" s="10" t="inlineStr">
        <is>
          <t>YODA</t>
        </is>
      </c>
      <c r="B59" s="10" t="inlineStr">
        <is>
          <t>Keerthi Shankar</t>
        </is>
      </c>
      <c r="C59" s="10" t="inlineStr">
        <is>
          <t>YODA-1338</t>
        </is>
      </c>
      <c r="D59" s="10" t="inlineStr">
        <is>
          <t>YODA-1338 Auditing &amp; Dashboard POCs</t>
        </is>
      </c>
      <c r="E59" s="10" t="inlineStr">
        <is>
          <t>YODA-1334</t>
        </is>
      </c>
      <c r="F59" s="10" t="inlineStr">
        <is>
          <t>[POC] Test index lifecycle policies</t>
        </is>
      </c>
      <c r="G59" s="22" t="n">
        <v>13.3333</v>
      </c>
    </row>
    <row r="60">
      <c r="A60" s="10" t="inlineStr">
        <is>
          <t>YODA</t>
        </is>
      </c>
      <c r="B60" s="10" t="inlineStr">
        <is>
          <t>Keerthi Shankar</t>
        </is>
      </c>
      <c r="C60" s="10" t="inlineStr">
        <is>
          <t>YODA-1338</t>
        </is>
      </c>
      <c r="D60" s="10" t="inlineStr">
        <is>
          <t>YODA-1338 Auditing &amp; Dashboard POCs</t>
        </is>
      </c>
      <c r="E60" s="10" t="inlineStr">
        <is>
          <t>YODA-1336</t>
        </is>
      </c>
      <c r="F60" s="10" t="inlineStr">
        <is>
          <t>[POC] How to create indices with automation</t>
        </is>
      </c>
      <c r="G60" s="22" t="n">
        <v>9.333299999999999</v>
      </c>
    </row>
    <row r="61">
      <c r="A61" s="10" t="inlineStr">
        <is>
          <t>YODA</t>
        </is>
      </c>
      <c r="B61" s="10" t="inlineStr">
        <is>
          <t>Delfy Pushpa</t>
        </is>
      </c>
      <c r="C61" s="10" t="inlineStr">
        <is>
          <t>YODA-1338</t>
        </is>
      </c>
      <c r="D61" s="10" t="inlineStr">
        <is>
          <t>YODA-1338 Auditing &amp; Dashboard POCs</t>
        </is>
      </c>
      <c r="E61" s="10" t="inlineStr">
        <is>
          <t>YODA-1344</t>
        </is>
      </c>
      <c r="F61" s="10" t="inlineStr">
        <is>
          <t>VOP audit model documentation</t>
        </is>
      </c>
      <c r="G61" s="22" t="n">
        <v>95.33329999999999</v>
      </c>
    </row>
    <row r="62">
      <c r="A62" s="10" t="inlineStr">
        <is>
          <t>YODA</t>
        </is>
      </c>
      <c r="B62" s="10" t="inlineStr">
        <is>
          <t>Delfy Pushpa</t>
        </is>
      </c>
      <c r="C62" s="10" t="inlineStr">
        <is>
          <t>YODA-1338</t>
        </is>
      </c>
      <c r="D62" s="10" t="inlineStr">
        <is>
          <t>YODA-1338 Auditing &amp; Dashboard POCs</t>
        </is>
      </c>
      <c r="E62" s="10" t="inlineStr">
        <is>
          <t>YODA-1358</t>
        </is>
      </c>
      <c r="F62" s="10" t="inlineStr">
        <is>
          <t>Run performance test on managed OpenSearch cl</t>
        </is>
      </c>
      <c r="G62" s="22" t="n">
        <v>8</v>
      </c>
    </row>
    <row r="63">
      <c r="A63" s="10" t="inlineStr">
        <is>
          <t>YODA</t>
        </is>
      </c>
      <c r="B63" s="10" t="inlineStr">
        <is>
          <t>Delfy Pushpa</t>
        </is>
      </c>
      <c r="C63" s="10" t="inlineStr">
        <is>
          <t>YODA-495</t>
        </is>
      </c>
      <c r="D63" s="10" t="inlineStr">
        <is>
          <t xml:space="preserve">YODA-495 [FCA] Use StreamMind cache </t>
        </is>
      </c>
      <c r="E63" s="10" t="inlineStr">
        <is>
          <t>YODA-714</t>
        </is>
      </c>
      <c r="F63" s="10" t="inlineStr">
        <is>
          <t>Update documents and mappings with new/missin</t>
        </is>
      </c>
      <c r="G63" s="22" t="n">
        <v>20.6667</v>
      </c>
    </row>
    <row r="64">
      <c r="A64" s="10" t="inlineStr">
        <is>
          <t>YODA</t>
        </is>
      </c>
      <c r="B64" s="10" t="inlineStr">
        <is>
          <t>Maarten Knippers</t>
        </is>
      </c>
      <c r="C64" s="10" t="inlineStr">
        <is>
          <t>YODA-1338</t>
        </is>
      </c>
      <c r="D64" s="10" t="inlineStr">
        <is>
          <t>YODA-1338 Auditing &amp; Dashboard POCs</t>
        </is>
      </c>
      <c r="E64" s="10" t="inlineStr">
        <is>
          <t>YODA-1307</t>
        </is>
      </c>
      <c r="F64" s="10" t="inlineStr">
        <is>
          <t>Start investigation design dashboarding / aud</t>
        </is>
      </c>
      <c r="G64" s="22" t="n">
        <v>80</v>
      </c>
    </row>
    <row r="65">
      <c r="A65" s="10" t="inlineStr">
        <is>
          <t>YODA</t>
        </is>
      </c>
      <c r="B65" s="10" t="inlineStr">
        <is>
          <t>Mark Moorcroft</t>
        </is>
      </c>
      <c r="C65" s="10" t="inlineStr">
        <is>
          <t>YODA-1338</t>
        </is>
      </c>
      <c r="D65" s="10" t="inlineStr">
        <is>
          <t>YODA-1338 Auditing &amp; Dashboard POCs</t>
        </is>
      </c>
      <c r="E65" s="10" t="inlineStr">
        <is>
          <t>YODA-1350</t>
        </is>
      </c>
      <c r="F65" s="10" t="inlineStr">
        <is>
          <t>[POC] Auth0 roles and how does it scale?</t>
        </is>
      </c>
      <c r="G65" s="22" t="n">
        <v>12</v>
      </c>
    </row>
    <row r="67">
      <c r="F67" s="3" t="inlineStr">
        <is>
          <t>TOTAL</t>
        </is>
      </c>
      <c r="G67" s="16">
        <f>SUM(G4:G65)</f>
        <v/>
      </c>
    </row>
  </sheetData>
  <autoFilter ref="A3:G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  <col width="16" customWidth="1" min="4" max="4"/>
    <col width="52" customWidth="1" min="5" max="5"/>
  </cols>
  <sheetData>
    <row r="1">
      <c r="A1" s="1" t="inlineStr">
        <is>
          <t>Mapping and scope issues found during this run</t>
        </is>
      </c>
    </row>
    <row r="3">
      <c r="A3" s="9" t="inlineStr">
        <is>
          <t>Team</t>
        </is>
      </c>
      <c r="B3" s="9" t="inlineStr">
        <is>
          <t>Epic key</t>
        </is>
      </c>
      <c r="C3" s="9" t="inlineStr">
        <is>
          <t>Issue</t>
        </is>
      </c>
      <c r="D3" s="9" t="inlineStr">
        <is>
          <t>Example ticket</t>
        </is>
      </c>
      <c r="E3" s="9" t="inlineStr">
        <is>
          <t>Action</t>
        </is>
      </c>
    </row>
    <row r="4">
      <c r="A4" s="10" t="inlineStr">
        <is>
          <t>Team Horizon</t>
        </is>
      </c>
      <c r="B4" s="10" t="inlineStr">
        <is>
          <t>SUK-1438</t>
        </is>
      </c>
      <c r="C4" s="10" t="inlineStr">
        <is>
          <t>Absent from the mapping CSV entirely</t>
        </is>
      </c>
      <c r="D4" s="10" t="inlineStr">
        <is>
          <t>SUK-1557</t>
        </is>
      </c>
      <c r="E4" s="10" t="inlineStr">
        <is>
          <t>Treated as non-WBSO. Add a row to the CSV if it should count.</t>
        </is>
      </c>
    </row>
    <row r="5">
      <c r="A5" s="10" t="inlineStr">
        <is>
          <t>Team Horizon</t>
        </is>
      </c>
      <c r="B5" s="10" t="inlineStr">
        <is>
          <t>SUK-2339</t>
        </is>
      </c>
      <c r="C5" s="10" t="inlineStr">
        <is>
          <t>Absent from the mapping CSV entirely</t>
        </is>
      </c>
      <c r="D5" s="10" t="inlineStr">
        <is>
          <t>SUK-3511</t>
        </is>
      </c>
      <c r="E5" s="10" t="inlineStr">
        <is>
          <t>Treated as non-WBSO. Add a row to the CSV if it should count.</t>
        </is>
      </c>
    </row>
    <row r="6">
      <c r="A6" s="10" t="inlineStr">
        <is>
          <t>Team Horizon</t>
        </is>
      </c>
      <c r="B6" s="10" t="inlineStr">
        <is>
          <t>SUK-4741</t>
        </is>
      </c>
      <c r="C6" s="10" t="inlineStr">
        <is>
          <t>Absent from the mapping CSV entirely</t>
        </is>
      </c>
      <c r="D6" s="10" t="inlineStr">
        <is>
          <t>SUK-4751</t>
        </is>
      </c>
      <c r="E6" s="10" t="inlineStr">
        <is>
          <t>Treated as non-WBSO. Add a row to the CSV if it should count.</t>
        </is>
      </c>
    </row>
    <row r="7">
      <c r="A7" s="10" t="inlineStr">
        <is>
          <t>Team Horizon</t>
        </is>
      </c>
      <c r="B7" s="10" t="inlineStr">
        <is>
          <t>SUK-6072</t>
        </is>
      </c>
      <c r="C7" s="10" t="inlineStr">
        <is>
          <t>Absent from the mapping CSV entirely</t>
        </is>
      </c>
      <c r="D7" s="10" t="inlineStr">
        <is>
          <t>SUK-2977</t>
        </is>
      </c>
      <c r="E7" s="10" t="inlineStr">
        <is>
          <t>Treated as non-WBSO. Add a row to the CSV if it should count.</t>
        </is>
      </c>
    </row>
    <row r="8">
      <c r="A8" s="10" t="inlineStr">
        <is>
          <t>Team Horizon</t>
        </is>
      </c>
      <c r="B8" s="10" t="inlineStr">
        <is>
          <t>SUK-6076</t>
        </is>
      </c>
      <c r="C8" s="10" t="inlineStr">
        <is>
          <t>Absent from the mapping CSV entirely</t>
        </is>
      </c>
      <c r="D8" s="10" t="inlineStr">
        <is>
          <t>SUK-5097</t>
        </is>
      </c>
      <c r="E8" s="10" t="inlineStr">
        <is>
          <t>Treated as non-WBSO. Add a row to the CSV if it should count.</t>
        </is>
      </c>
    </row>
    <row r="9">
      <c r="A9" s="10" t="inlineStr">
        <is>
          <t>Team Samba</t>
        </is>
      </c>
      <c r="B9" s="10" t="inlineStr">
        <is>
          <t>SDO-8305</t>
        </is>
      </c>
      <c r="C9" s="10" t="inlineStr">
        <is>
          <t>Absent from the mapping CSV entirely</t>
        </is>
      </c>
      <c r="D9" s="10" t="inlineStr">
        <is>
          <t>SDO-5668</t>
        </is>
      </c>
      <c r="E9" s="10" t="inlineStr">
        <is>
          <t>Treated as non-WBSO. Add a row to the CSV if it should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2026-08-21T16:09:10Z</dcterms:created>
  <dcterms:modified xsi:type="dcterms:W3CDTF">2026-08-21T16:09:10Z</dcterms:modified>
</cp:coreProperties>
</file>
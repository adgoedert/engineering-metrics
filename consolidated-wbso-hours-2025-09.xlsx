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2025-09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7</v>
      </c>
      <c r="E5" s="11" t="n">
        <v>6</v>
      </c>
      <c r="F5" s="12">
        <f>SUMIFS(Detail!$G$4:$G$182,Detail!$A$4:$A$182,$A5)</f>
        <v/>
      </c>
      <c r="G5" s="11" t="n">
        <v>158</v>
      </c>
      <c r="H5" s="12">
        <f>$G5*Assumptions!$B$5</f>
        <v/>
      </c>
      <c r="I5" s="13">
        <f>IFERROR($F5/$H5,0)</f>
        <v/>
      </c>
      <c r="J5" s="10" t="inlineStr">
        <is>
          <t>114.6h across 7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>
        <f>SUMIFS(Detail!$G$4:$G$182,Detail!$A$4:$A$182,$A6)</f>
        <v/>
      </c>
      <c r="G6" s="11" t="n">
        <v>104</v>
      </c>
      <c r="H6" s="12">
        <f>$G6*Assumptions!$B$5</f>
        <v/>
      </c>
      <c r="I6" s="13">
        <f>IFERROR($F6/$H6,0)</f>
        <v/>
      </c>
      <c r="J6" s="10" t="inlineStr">
        <is>
          <t>468.7h across 5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>
        <f>SUMIFS(Detail!$G$4:$G$182,Detail!$A$4:$A$182,$A7)</f>
        <v/>
      </c>
      <c r="G7" s="11" t="n">
        <v>219</v>
      </c>
      <c r="H7" s="12">
        <f>$G7*Assumptions!$B$5</f>
        <v/>
      </c>
      <c r="I7" s="13">
        <f>IFERROR($F7/$H7,0)</f>
        <v/>
      </c>
      <c r="J7" s="10" t="inlineStr">
        <is>
          <t>647.2h across 12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9</v>
      </c>
      <c r="E8" s="11" t="n">
        <v>25</v>
      </c>
      <c r="F8" s="12">
        <f>SUMIFS(Detail!$G$4:$G$182,Detail!$A$4:$A$182,$A8)</f>
        <v/>
      </c>
      <c r="G8" s="11" t="n">
        <v>180</v>
      </c>
      <c r="H8" s="12">
        <f>$G8*Assumptions!$B$5</f>
        <v/>
      </c>
      <c r="I8" s="13">
        <f>IFERROR($F8/$H8,0)</f>
        <v/>
      </c>
      <c r="J8" s="10" t="inlineStr">
        <is>
          <t>1156.8h across 9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8</v>
      </c>
      <c r="E9" s="11" t="n">
        <v>18</v>
      </c>
      <c r="F9" s="12">
        <f>SUMIFS(Detail!$G$4:$G$182,Detail!$A$4:$A$182,$A9)</f>
        <v/>
      </c>
      <c r="G9" s="11" t="n">
        <v>150</v>
      </c>
      <c r="H9" s="12">
        <f>$G9*Assumptions!$B$5</f>
        <v/>
      </c>
      <c r="I9" s="13">
        <f>IFERROR($F9/$H9,0)</f>
        <v/>
      </c>
      <c r="J9" s="10" t="inlineStr">
        <is>
          <t>593.3h across 8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6</v>
      </c>
      <c r="E10" s="11" t="n">
        <v>29</v>
      </c>
      <c r="F10" s="12">
        <f>SUMIFS(Detail!$G$4:$G$182,Detail!$A$4:$A$182,$A10)</f>
        <v/>
      </c>
      <c r="G10" s="11" t="n">
        <v>123</v>
      </c>
      <c r="H10" s="12">
        <f>$G10*Assumptions!$B$5</f>
        <v/>
      </c>
      <c r="I10" s="13">
        <f>IFERROR($F10/$H10,0)</f>
        <v/>
      </c>
      <c r="J10" s="10" t="inlineStr">
        <is>
          <t>448.7h across 6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2025-09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Vitor Fernandes</t>
        </is>
      </c>
      <c r="B5" s="10" t="inlineStr">
        <is>
          <t>PT-351</t>
        </is>
      </c>
      <c r="C5" s="10" t="inlineStr">
        <is>
          <t>PT-351 VOP File Check Improvements</t>
        </is>
      </c>
      <c r="D5" s="12">
        <f>SUMIFS(Detail!$G$4:$G$182,Detail!$A$4:$A$182,$A$2,Detail!$B$4:$B$182,$A5,Detail!$C$4:$C$182,$B5)</f>
        <v/>
      </c>
    </row>
    <row r="6">
      <c r="A6" s="10" t="inlineStr">
        <is>
          <t>Vitor Fernandes</t>
        </is>
      </c>
      <c r="B6" s="10" t="inlineStr">
        <is>
          <t>PT-54</t>
        </is>
      </c>
      <c r="C6" s="10" t="inlineStr">
        <is>
          <t>PT-54 VOP File Check</t>
        </is>
      </c>
      <c r="D6" s="12">
        <f>SUMIFS(Detail!$G$4:$G$182,Detail!$A$4:$A$182,$A$2,Detail!$B$4:$B$182,$A6,Detail!$C$4:$C$182,$B6)</f>
        <v/>
      </c>
    </row>
    <row r="7">
      <c r="A7" s="10" t="inlineStr">
        <is>
          <t>Elisabeth Gie</t>
        </is>
      </c>
      <c r="B7" s="10" t="inlineStr">
        <is>
          <t>PT-54</t>
        </is>
      </c>
      <c r="C7" s="10" t="inlineStr">
        <is>
          <t>PT-54 VOP File Check</t>
        </is>
      </c>
      <c r="D7" s="12">
        <f>SUMIFS(Detail!$G$4:$G$182,Detail!$A$4:$A$182,$A$2,Detail!$B$4:$B$182,$A7,Detail!$C$4:$C$182,$B7)</f>
        <v/>
      </c>
    </row>
    <row r="8">
      <c r="A8" s="10" t="inlineStr">
        <is>
          <t>alan.silva</t>
        </is>
      </c>
      <c r="B8" s="10" t="inlineStr">
        <is>
          <t>PT-22</t>
        </is>
      </c>
      <c r="C8" s="10" t="inlineStr">
        <is>
          <t>PT-22 VOP Single Check</t>
        </is>
      </c>
      <c r="D8" s="12">
        <f>SUMIFS(Detail!$G$4:$G$182,Detail!$A$4:$A$182,$A$2,Detail!$B$4:$B$182,$A8,Detail!$C$4:$C$182,$B8)</f>
        <v/>
      </c>
    </row>
    <row r="9">
      <c r="A9" s="10" t="inlineStr">
        <is>
          <t>alan.silva</t>
        </is>
      </c>
      <c r="B9" s="10" t="inlineStr">
        <is>
          <t>PT-54</t>
        </is>
      </c>
      <c r="C9" s="10" t="inlineStr">
        <is>
          <t>PT-54 VOP File Check</t>
        </is>
      </c>
      <c r="D9" s="12">
        <f>SUMIFS(Detail!$G$4:$G$182,Detail!$A$4:$A$182,$A$2,Detail!$B$4:$B$182,$A9,Detail!$C$4:$C$182,$B9)</f>
        <v/>
      </c>
    </row>
    <row r="10">
      <c r="A10" s="10" t="inlineStr">
        <is>
          <t>gustavo.palminha</t>
        </is>
      </c>
      <c r="B10" s="10" t="inlineStr">
        <is>
          <t>PT-22</t>
        </is>
      </c>
      <c r="C10" s="10" t="inlineStr">
        <is>
          <t>PT-22 VOP Single Check</t>
        </is>
      </c>
      <c r="D10" s="12">
        <f>SUMIFS(Detail!$G$4:$G$182,Detail!$A$4:$A$182,$A$2,Detail!$B$4:$B$182,$A10,Detail!$C$4:$C$182,$B10)</f>
        <v/>
      </c>
    </row>
    <row r="11">
      <c r="A11" s="17" t="n"/>
      <c r="B11" s="17" t="n"/>
      <c r="C11" s="18" t="inlineStr">
        <is>
          <t>TEAM TOTAL</t>
        </is>
      </c>
      <c r="D11" s="19">
        <f>SUM(D5:D10)</f>
        <v/>
      </c>
    </row>
    <row r="14">
      <c r="A14" s="6" t="inlineStr">
        <is>
          <t>Per engineer</t>
        </is>
      </c>
    </row>
    <row r="15">
      <c r="A15" s="9" t="inlineStr">
        <is>
          <t>Engineer</t>
        </is>
      </c>
      <c r="B15" s="9" t="inlineStr">
        <is>
          <t>WBSO hours</t>
        </is>
      </c>
      <c r="C15" s="9" t="inlineStr">
        <is>
          <t>Day equivalent</t>
        </is>
      </c>
      <c r="D15" s="9" t="inlineStr">
        <is>
          <t>Active days</t>
        </is>
      </c>
      <c r="E15" s="9" t="inlineStr">
        <is>
          <t>Capacity hours</t>
        </is>
      </c>
      <c r="F15" s="9" t="inlineStr">
        <is>
          <t>WBSO share</t>
        </is>
      </c>
      <c r="G15" s="9" t="inlineStr">
        <is>
          <t>Peak tickets/day</t>
        </is>
      </c>
    </row>
    <row r="16">
      <c r="A16" s="10" t="inlineStr">
        <is>
          <t>Vitor Fernandes</t>
        </is>
      </c>
      <c r="B16" s="12">
        <f>SUMIFS(Detail!$G$4:$G$182,Detail!$A$4:$A$182,$A$2,Detail!$B$4:$B$182,$A16)</f>
        <v/>
      </c>
      <c r="C16" s="12">
        <f>IFERROR($B16/Assumptions!$B$5,0)</f>
        <v/>
      </c>
      <c r="D16" s="11" t="n">
        <v>23</v>
      </c>
      <c r="E16" s="12">
        <f>$D16*Assumptions!$B$5</f>
        <v/>
      </c>
      <c r="F16" s="13">
        <f>IFERROR($B16/$E16,0)</f>
        <v/>
      </c>
      <c r="G16" s="11" t="inlineStr">
        <is>
          <t>5 on 23 Sep</t>
        </is>
      </c>
    </row>
    <row r="17">
      <c r="A17" s="10" t="inlineStr">
        <is>
          <t>Elisabeth Gie</t>
        </is>
      </c>
      <c r="B17" s="12">
        <f>SUMIFS(Detail!$G$4:$G$182,Detail!$A$4:$A$182,$A$2,Detail!$B$4:$B$182,$A17)</f>
        <v/>
      </c>
      <c r="C17" s="12">
        <f>IFERROR($B17/Assumptions!$B$5,0)</f>
        <v/>
      </c>
      <c r="D17" s="11" t="n">
        <v>22</v>
      </c>
      <c r="E17" s="12">
        <f>$D17*Assumptions!$B$5</f>
        <v/>
      </c>
      <c r="F17" s="13">
        <f>IFERROR($B17/$E17,0)</f>
        <v/>
      </c>
      <c r="G17" s="11" t="inlineStr">
        <is>
          <t>3 on 12 Sep</t>
        </is>
      </c>
    </row>
    <row r="18">
      <c r="A18" s="10" t="inlineStr">
        <is>
          <t>alan.silva</t>
        </is>
      </c>
      <c r="B18" s="12">
        <f>SUMIFS(Detail!$G$4:$G$182,Detail!$A$4:$A$182,$A$2,Detail!$B$4:$B$182,$A18)</f>
        <v/>
      </c>
      <c r="C18" s="12">
        <f>IFERROR($B18/Assumptions!$B$5,0)</f>
        <v/>
      </c>
      <c r="D18" s="11" t="n">
        <v>23</v>
      </c>
      <c r="E18" s="12">
        <f>$D18*Assumptions!$B$5</f>
        <v/>
      </c>
      <c r="F18" s="13">
        <f>IFERROR($B18/$E18,0)</f>
        <v/>
      </c>
      <c r="G18" s="11" t="inlineStr">
        <is>
          <t>7 on 12 Sep</t>
        </is>
      </c>
    </row>
    <row r="19">
      <c r="A19" s="10" t="inlineStr">
        <is>
          <t>gustavo.palminha</t>
        </is>
      </c>
      <c r="B19" s="12">
        <f>SUMIFS(Detail!$G$4:$G$182,Detail!$A$4:$A$182,$A$2,Detail!$B$4:$B$182,$A19)</f>
        <v/>
      </c>
      <c r="C19" s="12">
        <f>IFERROR($B19/Assumptions!$B$5,0)</f>
        <v/>
      </c>
      <c r="D19" s="11" t="n">
        <v>23</v>
      </c>
      <c r="E19" s="12">
        <f>$D19*Assumptions!$B$5</f>
        <v/>
      </c>
      <c r="F19" s="13">
        <f>IFERROR($B19/$E19,0)</f>
        <v/>
      </c>
      <c r="G19" s="11" t="inlineStr">
        <is>
          <t>4 on 30 Sep</t>
        </is>
      </c>
    </row>
    <row r="20">
      <c r="A20" s="3" t="inlineStr">
        <is>
          <t>TOTAL</t>
        </is>
      </c>
      <c r="B20" s="15">
        <f>SUM(B16:B19)</f>
        <v/>
      </c>
      <c r="C20" s="15">
        <f>SUM(C16:C19)</f>
        <v/>
      </c>
      <c r="D20" s="15">
        <f>SUM(D16:D19)</f>
        <v/>
      </c>
      <c r="E20" s="15">
        <f>SUM(E16:E19)</f>
        <v/>
      </c>
      <c r="F20" s="16">
        <f>IFERROR($B20/$E20,0)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2025-09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Elton Qevani</t>
        </is>
      </c>
      <c r="B5" s="10" t="inlineStr">
        <is>
          <t>PT6-1670</t>
        </is>
      </c>
      <c r="C5" s="10" t="inlineStr">
        <is>
          <t xml:space="preserve">PT6-1670 Multi region </t>
        </is>
      </c>
      <c r="D5" s="12">
        <f>SUMIFS(Detail!$G$4:$G$182,Detail!$A$4:$A$182,$A$2,Detail!$B$4:$B$182,$A5,Detail!$C$4:$C$182,$B5)</f>
        <v/>
      </c>
    </row>
    <row r="6">
      <c r="A6" s="10" t="inlineStr">
        <is>
          <t>Venkata Mannam</t>
        </is>
      </c>
      <c r="B6" s="10" t="inlineStr">
        <is>
          <t>PT6-1419</t>
        </is>
      </c>
      <c r="C6" s="10" t="inlineStr">
        <is>
          <t>PT6-1419 Traefik migration V3</t>
        </is>
      </c>
      <c r="D6" s="12">
        <f>SUMIFS(Detail!$G$4:$G$182,Detail!$A$4:$A$182,$A$2,Detail!$B$4:$B$182,$A6,Detail!$C$4:$C$182,$B6)</f>
        <v/>
      </c>
    </row>
    <row r="7">
      <c r="A7" s="10" t="inlineStr">
        <is>
          <t>Venkata Mannam</t>
        </is>
      </c>
      <c r="B7" s="10" t="inlineStr">
        <is>
          <t>PT6-1670</t>
        </is>
      </c>
      <c r="C7" s="10" t="inlineStr">
        <is>
          <t xml:space="preserve">PT6-1670 Multi region </t>
        </is>
      </c>
      <c r="D7" s="12">
        <f>SUMIFS(Detail!$G$4:$G$182,Detail!$A$4:$A$182,$A$2,Detail!$B$4:$B$182,$A7,Detail!$C$4:$C$182,$B7)</f>
        <v/>
      </c>
    </row>
    <row r="8">
      <c r="A8" s="10" t="inlineStr">
        <is>
          <t>Venkata Mannam</t>
        </is>
      </c>
      <c r="B8" s="10" t="inlineStr">
        <is>
          <t>PT6-1713</t>
        </is>
      </c>
      <c r="C8" s="10" t="inlineStr">
        <is>
          <t>PT6-1713 Autoscaling</t>
        </is>
      </c>
      <c r="D8" s="12">
        <f>SUMIFS(Detail!$G$4:$G$182,Detail!$A$4:$A$182,$A$2,Detail!$B$4:$B$182,$A8,Detail!$C$4:$C$182,$B8)</f>
        <v/>
      </c>
    </row>
    <row r="9">
      <c r="A9" s="10" t="inlineStr">
        <is>
          <t>Iakovos Belonias</t>
        </is>
      </c>
      <c r="B9" s="10" t="inlineStr">
        <is>
          <t>PT6-1670</t>
        </is>
      </c>
      <c r="C9" s="10" t="inlineStr">
        <is>
          <t xml:space="preserve">PT6-1670 Multi region </t>
        </is>
      </c>
      <c r="D9" s="12">
        <f>SUMIFS(Detail!$G$4:$G$182,Detail!$A$4:$A$182,$A$2,Detail!$B$4:$B$182,$A9,Detail!$C$4:$C$182,$B9)</f>
        <v/>
      </c>
    </row>
    <row r="10">
      <c r="A10" s="10" t="inlineStr">
        <is>
          <t>Mete Han Karacüllü</t>
        </is>
      </c>
      <c r="B10" s="10" t="inlineStr">
        <is>
          <t>PT6-1670</t>
        </is>
      </c>
      <c r="C10" s="10" t="inlineStr">
        <is>
          <t xml:space="preserve">PT6-1670 Multi region </t>
        </is>
      </c>
      <c r="D10" s="12">
        <f>SUMIFS(Detail!$G$4:$G$182,Detail!$A$4:$A$182,$A$2,Detail!$B$4:$B$182,$A10,Detail!$C$4:$C$182,$B10)</f>
        <v/>
      </c>
    </row>
    <row r="11">
      <c r="A11" s="10" t="inlineStr">
        <is>
          <t>Rafay Khan</t>
        </is>
      </c>
      <c r="B11" s="10" t="inlineStr">
        <is>
          <t>PT6-1670</t>
        </is>
      </c>
      <c r="C11" s="10" t="inlineStr">
        <is>
          <t xml:space="preserve">PT6-1670 Multi region </t>
        </is>
      </c>
      <c r="D11" s="12">
        <f>SUMIFS(Detail!$G$4:$G$182,Detail!$A$4:$A$182,$A$2,Detail!$B$4:$B$182,$A11,Detail!$C$4:$C$182,$B11)</f>
        <v/>
      </c>
    </row>
    <row r="12">
      <c r="A12" s="17" t="n"/>
      <c r="B12" s="17" t="n"/>
      <c r="C12" s="18" t="inlineStr">
        <is>
          <t>TEAM TOTAL</t>
        </is>
      </c>
      <c r="D12" s="19">
        <f>SUM(D5:D11)</f>
        <v/>
      </c>
    </row>
    <row r="15">
      <c r="A15" s="6" t="inlineStr">
        <is>
          <t>Per engineer</t>
        </is>
      </c>
    </row>
    <row r="16">
      <c r="A16" s="9" t="inlineStr">
        <is>
          <t>Engineer</t>
        </is>
      </c>
      <c r="B16" s="9" t="inlineStr">
        <is>
          <t>WBSO hours</t>
        </is>
      </c>
      <c r="C16" s="9" t="inlineStr">
        <is>
          <t>Day equivalent</t>
        </is>
      </c>
      <c r="D16" s="9" t="inlineStr">
        <is>
          <t>Active days</t>
        </is>
      </c>
      <c r="E16" s="9" t="inlineStr">
        <is>
          <t>Capacity hours</t>
        </is>
      </c>
      <c r="F16" s="9" t="inlineStr">
        <is>
          <t>WBSO share</t>
        </is>
      </c>
      <c r="G16" s="9" t="inlineStr">
        <is>
          <t>Peak tickets/day</t>
        </is>
      </c>
    </row>
    <row r="17">
      <c r="A17" s="10" t="inlineStr">
        <is>
          <t>Elton Qevani</t>
        </is>
      </c>
      <c r="B17" s="12">
        <f>SUMIFS(Detail!$G$4:$G$182,Detail!$A$4:$A$182,$A$2,Detail!$B$4:$B$182,$A17)</f>
        <v/>
      </c>
      <c r="C17" s="12">
        <f>IFERROR($B17/Assumptions!$B$5,0)</f>
        <v/>
      </c>
      <c r="D17" s="11" t="n">
        <v>22</v>
      </c>
      <c r="E17" s="12">
        <f>$D17*Assumptions!$B$5</f>
        <v/>
      </c>
      <c r="F17" s="13">
        <f>IFERROR($B17/$E17,0)</f>
        <v/>
      </c>
      <c r="G17" s="11" t="inlineStr">
        <is>
          <t>3 on 29 Sep</t>
        </is>
      </c>
    </row>
    <row r="18">
      <c r="A18" s="10" t="inlineStr">
        <is>
          <t>Venkata Mannam</t>
        </is>
      </c>
      <c r="B18" s="12">
        <f>SUMIFS(Detail!$G$4:$G$182,Detail!$A$4:$A$182,$A$2,Detail!$B$4:$B$182,$A18)</f>
        <v/>
      </c>
      <c r="C18" s="12">
        <f>IFERROR($B18/Assumptions!$B$5,0)</f>
        <v/>
      </c>
      <c r="D18" s="11" t="n">
        <v>13</v>
      </c>
      <c r="E18" s="12">
        <f>$D18*Assumptions!$B$5</f>
        <v/>
      </c>
      <c r="F18" s="13">
        <f>IFERROR($B18/$E18,0)</f>
        <v/>
      </c>
      <c r="G18" s="11" t="inlineStr">
        <is>
          <t>5 on 02 Sep</t>
        </is>
      </c>
    </row>
    <row r="19">
      <c r="A19" s="10" t="inlineStr">
        <is>
          <t>Iakovos Belonias</t>
        </is>
      </c>
      <c r="B19" s="12">
        <f>SUMIFS(Detail!$G$4:$G$182,Detail!$A$4:$A$182,$A$2,Detail!$B$4:$B$182,$A19)</f>
        <v/>
      </c>
      <c r="C19" s="12">
        <f>IFERROR($B19/Assumptions!$B$5,0)</f>
        <v/>
      </c>
      <c r="D19" s="11" t="n">
        <v>23</v>
      </c>
      <c r="E19" s="12">
        <f>$D19*Assumptions!$B$5</f>
        <v/>
      </c>
      <c r="F19" s="13">
        <f>IFERROR($B19/$E19,0)</f>
        <v/>
      </c>
      <c r="G19" s="11" t="inlineStr">
        <is>
          <t>4 on 26 Sep</t>
        </is>
      </c>
    </row>
    <row r="20">
      <c r="A20" s="10" t="inlineStr">
        <is>
          <t>Mete Han Karacüllü</t>
        </is>
      </c>
      <c r="B20" s="12">
        <f>SUMIFS(Detail!$G$4:$G$182,Detail!$A$4:$A$182,$A$2,Detail!$B$4:$B$182,$A20)</f>
        <v/>
      </c>
      <c r="C20" s="12">
        <f>IFERROR($B20/Assumptions!$B$5,0)</f>
        <v/>
      </c>
      <c r="D20" s="11" t="n">
        <v>23</v>
      </c>
      <c r="E20" s="12">
        <f>$D20*Assumptions!$B$5</f>
        <v/>
      </c>
      <c r="F20" s="13">
        <f>IFERROR($B20/$E20,0)</f>
        <v/>
      </c>
      <c r="G20" s="11" t="inlineStr">
        <is>
          <t>3 on 29 Sep</t>
        </is>
      </c>
    </row>
    <row r="21">
      <c r="A21" s="10" t="inlineStr">
        <is>
          <t>Rafay Khan</t>
        </is>
      </c>
      <c r="B21" s="12">
        <f>SUMIFS(Detail!$G$4:$G$182,Detail!$A$4:$A$182,$A$2,Detail!$B$4:$B$182,$A21)</f>
        <v/>
      </c>
      <c r="C21" s="12">
        <f>IFERROR($B21/Assumptions!$B$5,0)</f>
        <v/>
      </c>
      <c r="D21" s="11" t="n">
        <v>23</v>
      </c>
      <c r="E21" s="12">
        <f>$D21*Assumptions!$B$5</f>
        <v/>
      </c>
      <c r="F21" s="13">
        <f>IFERROR($B21/$E21,0)</f>
        <v/>
      </c>
      <c r="G21" s="11" t="inlineStr">
        <is>
          <t>5 on 29 Sep</t>
        </is>
      </c>
    </row>
    <row r="22">
      <c r="A22" s="3" t="inlineStr">
        <is>
          <t>TOTAL</t>
        </is>
      </c>
      <c r="B22" s="15">
        <f>SUM(B17:B21)</f>
        <v/>
      </c>
      <c r="C22" s="15">
        <f>SUM(C17:C21)</f>
        <v/>
      </c>
      <c r="D22" s="15">
        <f>SUM(D17:D21)</f>
        <v/>
      </c>
      <c r="E22" s="15">
        <f>SUM(E17:E21)</f>
        <v/>
      </c>
      <c r="F22" s="16">
        <f>IFERROR($B22/$E22,0)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2025-09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Adorjan Fritz</t>
        </is>
      </c>
      <c r="B5" s="10" t="inlineStr">
        <is>
          <t>SUK-5466</t>
        </is>
      </c>
      <c r="C5" s="10" t="inlineStr">
        <is>
          <t>SUK-5466 VOP Outbound Adaptor</t>
        </is>
      </c>
      <c r="D5" s="12">
        <f>SUMIFS(Detail!$G$4:$G$182,Detail!$A$4:$A$182,$A$2,Detail!$B$4:$B$182,$A5,Detail!$C$4:$C$182,$B5)</f>
        <v/>
      </c>
    </row>
    <row r="6">
      <c r="A6" s="10" t="inlineStr">
        <is>
          <t>Adorjan Fritz</t>
        </is>
      </c>
      <c r="B6" s="10" t="inlineStr">
        <is>
          <t>SUK-5578</t>
        </is>
      </c>
      <c r="C6" s="10" t="inlineStr">
        <is>
          <t xml:space="preserve">SUK-5578 VOP Inbound Adaptor </t>
        </is>
      </c>
      <c r="D6" s="12">
        <f>SUMIFS(Detail!$G$4:$G$182,Detail!$A$4:$A$182,$A$2,Detail!$B$4:$B$182,$A6,Detail!$C$4:$C$182,$B6)</f>
        <v/>
      </c>
    </row>
    <row r="7">
      <c r="A7" s="10" t="inlineStr">
        <is>
          <t>Adorjan Fritz</t>
        </is>
      </c>
      <c r="B7" s="10" t="inlineStr">
        <is>
          <t>SUK-5756</t>
        </is>
      </c>
      <c r="C7" s="10" t="inlineStr">
        <is>
          <t>SUK-5756 Audit data – Mask credit card numbers</t>
        </is>
      </c>
      <c r="D7" s="12">
        <f>SUMIFS(Detail!$G$4:$G$182,Detail!$A$4:$A$182,$A$2,Detail!$B$4:$B$182,$A7,Detail!$C$4:$C$182,$B7)</f>
        <v/>
      </c>
    </row>
    <row r="8">
      <c r="A8" s="10" t="inlineStr">
        <is>
          <t>Adorjan Fritz</t>
        </is>
      </c>
      <c r="B8" s="10" t="inlineStr">
        <is>
          <t>SUK-5787</t>
        </is>
      </c>
      <c r="C8" s="10" t="inlineStr">
        <is>
          <t>SUK-5787 NEW: Support for BIC8</t>
        </is>
      </c>
      <c r="D8" s="12">
        <f>SUMIFS(Detail!$G$4:$G$182,Detail!$A$4:$A$182,$A$2,Detail!$B$4:$B$182,$A8,Detail!$C$4:$C$182,$B8)</f>
        <v/>
      </c>
    </row>
    <row r="9">
      <c r="A9" s="10" t="inlineStr">
        <is>
          <t>Adorjan Fritz</t>
        </is>
      </c>
      <c r="B9" s="10" t="inlineStr">
        <is>
          <t>SUK-5790</t>
        </is>
      </c>
      <c r="C9" s="10" t="inlineStr">
        <is>
          <t>SUK-5790 VOP Improvements  - 2025</t>
        </is>
      </c>
      <c r="D9" s="12">
        <f>SUMIFS(Detail!$G$4:$G$182,Detail!$A$4:$A$182,$A$2,Detail!$B$4:$B$182,$A9,Detail!$C$4:$C$182,$B9)</f>
        <v/>
      </c>
    </row>
    <row r="10">
      <c r="A10" s="10" t="inlineStr">
        <is>
          <t>Ryan Shepherd</t>
        </is>
      </c>
      <c r="B10" s="10" t="inlineStr">
        <is>
          <t>SUK-5466</t>
        </is>
      </c>
      <c r="C10" s="10" t="inlineStr">
        <is>
          <t>SUK-5466 VOP Outbound Adaptor</t>
        </is>
      </c>
      <c r="D10" s="12">
        <f>SUMIFS(Detail!$G$4:$G$182,Detail!$A$4:$A$182,$A$2,Detail!$B$4:$B$182,$A10,Detail!$C$4:$C$182,$B10)</f>
        <v/>
      </c>
    </row>
    <row r="11">
      <c r="A11" s="10" t="inlineStr">
        <is>
          <t>Ryan Shepherd</t>
        </is>
      </c>
      <c r="B11" s="10" t="inlineStr">
        <is>
          <t>SUK-5578</t>
        </is>
      </c>
      <c r="C11" s="10" t="inlineStr">
        <is>
          <t xml:space="preserve">SUK-5578 VOP Inbound Adaptor </t>
        </is>
      </c>
      <c r="D11" s="12">
        <f>SUMIFS(Detail!$G$4:$G$182,Detail!$A$4:$A$182,$A$2,Detail!$B$4:$B$182,$A11,Detail!$C$4:$C$182,$B11)</f>
        <v/>
      </c>
    </row>
    <row r="12">
      <c r="A12" s="10" t="inlineStr">
        <is>
          <t>Ryan Shepherd</t>
        </is>
      </c>
      <c r="B12" s="10" t="inlineStr">
        <is>
          <t>SUK-5790</t>
        </is>
      </c>
      <c r="C12" s="10" t="inlineStr">
        <is>
          <t>SUK-5790 VOP Improvements  - 2025</t>
        </is>
      </c>
      <c r="D12" s="12">
        <f>SUMIFS(Detail!$G$4:$G$182,Detail!$A$4:$A$182,$A$2,Detail!$B$4:$B$182,$A12,Detail!$C$4:$C$182,$B12)</f>
        <v/>
      </c>
    </row>
    <row r="13">
      <c r="A13" s="10" t="inlineStr">
        <is>
          <t>Arpit Dahiya</t>
        </is>
      </c>
      <c r="B13" s="10" t="inlineStr">
        <is>
          <t>SUK-5578</t>
        </is>
      </c>
      <c r="C13" s="10" t="inlineStr">
        <is>
          <t xml:space="preserve">SUK-5578 VOP Inbound Adaptor </t>
        </is>
      </c>
      <c r="D13" s="12">
        <f>SUMIFS(Detail!$G$4:$G$182,Detail!$A$4:$A$182,$A$2,Detail!$B$4:$B$182,$A13,Detail!$C$4:$C$182,$B13)</f>
        <v/>
      </c>
    </row>
    <row r="14">
      <c r="A14" s="10" t="inlineStr">
        <is>
          <t>Arpit Dahiya</t>
        </is>
      </c>
      <c r="B14" s="10" t="inlineStr">
        <is>
          <t>SUK-5790</t>
        </is>
      </c>
      <c r="C14" s="10" t="inlineStr">
        <is>
          <t>SUK-5790 VOP Improvements  - 2025</t>
        </is>
      </c>
      <c r="D14" s="12">
        <f>SUMIFS(Detail!$G$4:$G$182,Detail!$A$4:$A$182,$A$2,Detail!$B$4:$B$182,$A14,Detail!$C$4:$C$182,$B14)</f>
        <v/>
      </c>
    </row>
    <row r="15">
      <c r="A15" s="10" t="inlineStr">
        <is>
          <t>Julian Mulder</t>
        </is>
      </c>
      <c r="B15" s="10" t="inlineStr">
        <is>
          <t>SUK-5466</t>
        </is>
      </c>
      <c r="C15" s="10" t="inlineStr">
        <is>
          <t>SUK-5466 VOP Outbound Adaptor</t>
        </is>
      </c>
      <c r="D15" s="12">
        <f>SUMIFS(Detail!$G$4:$G$182,Detail!$A$4:$A$182,$A$2,Detail!$B$4:$B$182,$A15,Detail!$C$4:$C$182,$B15)</f>
        <v/>
      </c>
    </row>
    <row r="16">
      <c r="A16" s="10" t="inlineStr">
        <is>
          <t>Julian Mulder</t>
        </is>
      </c>
      <c r="B16" s="10" t="inlineStr">
        <is>
          <t>SUK-5578</t>
        </is>
      </c>
      <c r="C16" s="10" t="inlineStr">
        <is>
          <t xml:space="preserve">SUK-5578 VOP Inbound Adaptor </t>
        </is>
      </c>
      <c r="D16" s="12">
        <f>SUMIFS(Detail!$G$4:$G$182,Detail!$A$4:$A$182,$A$2,Detail!$B$4:$B$182,$A16,Detail!$C$4:$C$182,$B16)</f>
        <v/>
      </c>
    </row>
    <row r="17">
      <c r="A17" s="10" t="inlineStr">
        <is>
          <t>Julian Mulder</t>
        </is>
      </c>
      <c r="B17" s="10" t="inlineStr">
        <is>
          <t>SUK-5790</t>
        </is>
      </c>
      <c r="C17" s="10" t="inlineStr">
        <is>
          <t>SUK-5790 VOP Improvements  - 2025</t>
        </is>
      </c>
      <c r="D17" s="12">
        <f>SUMIFS(Detail!$G$4:$G$182,Detail!$A$4:$A$182,$A$2,Detail!$B$4:$B$182,$A17,Detail!$C$4:$C$182,$B17)</f>
        <v/>
      </c>
    </row>
    <row r="18">
      <c r="A18" s="10" t="inlineStr">
        <is>
          <t>Péter Veres</t>
        </is>
      </c>
      <c r="B18" s="10" t="inlineStr">
        <is>
          <t>SUK-5578</t>
        </is>
      </c>
      <c r="C18" s="10" t="inlineStr">
        <is>
          <t xml:space="preserve">SUK-5578 VOP Inbound Adaptor </t>
        </is>
      </c>
      <c r="D18" s="12">
        <f>SUMIFS(Detail!$G$4:$G$182,Detail!$A$4:$A$182,$A$2,Detail!$B$4:$B$182,$A18,Detail!$C$4:$C$182,$B18)</f>
        <v/>
      </c>
    </row>
    <row r="19">
      <c r="A19" s="10" t="inlineStr">
        <is>
          <t>Péter Veres</t>
        </is>
      </c>
      <c r="B19" s="10" t="inlineStr">
        <is>
          <t>SUK-5787</t>
        </is>
      </c>
      <c r="C19" s="10" t="inlineStr">
        <is>
          <t>SUK-5787 NEW: Support for BIC8</t>
        </is>
      </c>
      <c r="D19" s="12">
        <f>SUMIFS(Detail!$G$4:$G$182,Detail!$A$4:$A$182,$A$2,Detail!$B$4:$B$182,$A19,Detail!$C$4:$C$182,$B19)</f>
        <v/>
      </c>
    </row>
    <row r="20">
      <c r="A20" s="10" t="inlineStr">
        <is>
          <t>Sanjay Chaudhary</t>
        </is>
      </c>
      <c r="B20" s="10" t="inlineStr">
        <is>
          <t>SUK-5466</t>
        </is>
      </c>
      <c r="C20" s="10" t="inlineStr">
        <is>
          <t>SUK-5466 VOP Outbound Adaptor</t>
        </is>
      </c>
      <c r="D20" s="12">
        <f>SUMIFS(Detail!$G$4:$G$182,Detail!$A$4:$A$182,$A$2,Detail!$B$4:$B$182,$A20,Detail!$C$4:$C$182,$B20)</f>
        <v/>
      </c>
    </row>
    <row r="21">
      <c r="A21" s="10" t="inlineStr">
        <is>
          <t>Sanjay Chaudhary</t>
        </is>
      </c>
      <c r="B21" s="10" t="inlineStr">
        <is>
          <t>SUK-5578</t>
        </is>
      </c>
      <c r="C21" s="10" t="inlineStr">
        <is>
          <t xml:space="preserve">SUK-5578 VOP Inbound Adaptor </t>
        </is>
      </c>
      <c r="D21" s="12">
        <f>SUMIFS(Detail!$G$4:$G$182,Detail!$A$4:$A$182,$A$2,Detail!$B$4:$B$182,$A21,Detail!$C$4:$C$182,$B21)</f>
        <v/>
      </c>
    </row>
    <row r="22">
      <c r="A22" s="10" t="inlineStr">
        <is>
          <t>Sanjay Chaudhary</t>
        </is>
      </c>
      <c r="B22" s="10" t="inlineStr">
        <is>
          <t>SUK-5790</t>
        </is>
      </c>
      <c r="C22" s="10" t="inlineStr">
        <is>
          <t>SUK-5790 VOP Improvements  - 2025</t>
        </is>
      </c>
      <c r="D22" s="12">
        <f>SUMIFS(Detail!$G$4:$G$182,Detail!$A$4:$A$182,$A$2,Detail!$B$4:$B$182,$A22,Detail!$C$4:$C$182,$B22)</f>
        <v/>
      </c>
    </row>
    <row r="23">
      <c r="A23" s="10" t="inlineStr">
        <is>
          <t>Prabhukiran Narava</t>
        </is>
      </c>
      <c r="B23" s="10" t="inlineStr">
        <is>
          <t>SUK-5466</t>
        </is>
      </c>
      <c r="C23" s="10" t="inlineStr">
        <is>
          <t>SUK-5466 VOP Outbound Adaptor</t>
        </is>
      </c>
      <c r="D23" s="12">
        <f>SUMIFS(Detail!$G$4:$G$182,Detail!$A$4:$A$182,$A$2,Detail!$B$4:$B$182,$A23,Detail!$C$4:$C$182,$B23)</f>
        <v/>
      </c>
    </row>
    <row r="24">
      <c r="A24" s="10" t="inlineStr">
        <is>
          <t>Prabhukiran Narava</t>
        </is>
      </c>
      <c r="B24" s="10" t="inlineStr">
        <is>
          <t>SUK-5756</t>
        </is>
      </c>
      <c r="C24" s="10" t="inlineStr">
        <is>
          <t>SUK-5756 Audit data – Mask credit card numbers</t>
        </is>
      </c>
      <c r="D24" s="12">
        <f>SUMIFS(Detail!$G$4:$G$182,Detail!$A$4:$A$182,$A$2,Detail!$B$4:$B$182,$A24,Detail!$C$4:$C$182,$B24)</f>
        <v/>
      </c>
    </row>
    <row r="25">
      <c r="A25" s="17" t="n"/>
      <c r="B25" s="17" t="n"/>
      <c r="C25" s="18" t="inlineStr">
        <is>
          <t>TEAM TOTAL</t>
        </is>
      </c>
      <c r="D25" s="19">
        <f>SUM(D5:D24)</f>
        <v/>
      </c>
    </row>
    <row r="28">
      <c r="A28" s="6" t="inlineStr">
        <is>
          <t>Per engineer</t>
        </is>
      </c>
    </row>
    <row r="29">
      <c r="A29" s="9" t="inlineStr">
        <is>
          <t>Engineer</t>
        </is>
      </c>
      <c r="B29" s="9" t="inlineStr">
        <is>
          <t>WBSO hours</t>
        </is>
      </c>
      <c r="C29" s="9" t="inlineStr">
        <is>
          <t>Day equivalent</t>
        </is>
      </c>
      <c r="D29" s="9" t="inlineStr">
        <is>
          <t>Active days</t>
        </is>
      </c>
      <c r="E29" s="9" t="inlineStr">
        <is>
          <t>Capacity hours</t>
        </is>
      </c>
      <c r="F29" s="9" t="inlineStr">
        <is>
          <t>WBSO share</t>
        </is>
      </c>
      <c r="G29" s="9" t="inlineStr">
        <is>
          <t>Peak tickets/day</t>
        </is>
      </c>
    </row>
    <row r="30">
      <c r="A30" s="10" t="inlineStr">
        <is>
          <t>Adorjan Fritz</t>
        </is>
      </c>
      <c r="B30" s="12">
        <f>SUMIFS(Detail!$G$4:$G$182,Detail!$A$4:$A$182,$A$2,Detail!$B$4:$B$182,$A30)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4 on 25 Sep</t>
        </is>
      </c>
    </row>
    <row r="31">
      <c r="A31" s="10" t="inlineStr">
        <is>
          <t>Ryan Shepherd</t>
        </is>
      </c>
      <c r="B31" s="12">
        <f>SUMIFS(Detail!$G$4:$G$182,Detail!$A$4:$A$182,$A$2,Detail!$B$4:$B$182,$A31)</f>
        <v/>
      </c>
      <c r="C31" s="12">
        <f>IFERROR($B31/Assumptions!$B$5,0)</f>
        <v/>
      </c>
      <c r="D31" s="11" t="n">
        <v>21</v>
      </c>
      <c r="E31" s="12">
        <f>$D31*Assumptions!$B$5</f>
        <v/>
      </c>
      <c r="F31" s="13">
        <f>IFERROR($B31/$E31,0)</f>
        <v/>
      </c>
      <c r="G31" s="11" t="inlineStr">
        <is>
          <t>5 on 11 Sep</t>
        </is>
      </c>
    </row>
    <row r="32">
      <c r="A32" s="10" t="inlineStr">
        <is>
          <t>Arpit Dahiya</t>
        </is>
      </c>
      <c r="B32" s="12">
        <f>SUMIFS(Detail!$G$4:$G$182,Detail!$A$4:$A$182,$A$2,Detail!$B$4:$B$182,$A32)</f>
        <v/>
      </c>
      <c r="C32" s="12">
        <f>IFERROR($B32/Assumptions!$B$5,0)</f>
        <v/>
      </c>
      <c r="D32" s="11" t="n">
        <v>18</v>
      </c>
      <c r="E32" s="12">
        <f>$D32*Assumptions!$B$5</f>
        <v/>
      </c>
      <c r="F32" s="13">
        <f>IFERROR($B32/$E32,0)</f>
        <v/>
      </c>
      <c r="G32" s="11" t="inlineStr">
        <is>
          <t>3 on 02 Sep</t>
        </is>
      </c>
    </row>
    <row r="33">
      <c r="A33" s="10" t="inlineStr">
        <is>
          <t>Julian Mulder</t>
        </is>
      </c>
      <c r="B33" s="12">
        <f>SUMIFS(Detail!$G$4:$G$182,Detail!$A$4:$A$182,$A$2,Detail!$B$4:$B$182,$A33)</f>
        <v/>
      </c>
      <c r="C33" s="12">
        <f>IFERROR($B33/Assumptions!$B$5,0)</f>
        <v/>
      </c>
      <c r="D33" s="11" t="n">
        <v>17</v>
      </c>
      <c r="E33" s="12">
        <f>$D33*Assumptions!$B$5</f>
        <v/>
      </c>
      <c r="F33" s="13">
        <f>IFERROR($B33/$E33,0)</f>
        <v/>
      </c>
      <c r="G33" s="11" t="inlineStr">
        <is>
          <t>4 on 11 Sep</t>
        </is>
      </c>
    </row>
    <row r="34">
      <c r="A34" s="10" t="inlineStr">
        <is>
          <t>Péter Veres</t>
        </is>
      </c>
      <c r="B34" s="12">
        <f>SUMIFS(Detail!$G$4:$G$182,Detail!$A$4:$A$182,$A$2,Detail!$B$4:$B$182,$A34)</f>
        <v/>
      </c>
      <c r="C34" s="12">
        <f>IFERROR($B34/Assumptions!$B$5,0)</f>
        <v/>
      </c>
      <c r="D34" s="11" t="n">
        <v>7</v>
      </c>
      <c r="E34" s="12">
        <f>$D34*Assumptions!$B$5</f>
        <v/>
      </c>
      <c r="F34" s="13">
        <f>IFERROR($B34/$E34,0)</f>
        <v/>
      </c>
      <c r="G34" s="11" t="inlineStr">
        <is>
          <t>1 on 26 Sep</t>
        </is>
      </c>
    </row>
    <row r="35">
      <c r="A35" s="10" t="inlineStr">
        <is>
          <t>Sanjay Chaudhary</t>
        </is>
      </c>
      <c r="B35" s="12">
        <f>SUMIFS(Detail!$G$4:$G$182,Detail!$A$4:$A$182,$A$2,Detail!$B$4:$B$182,$A35)</f>
        <v/>
      </c>
      <c r="C35" s="12">
        <f>IFERROR($B35/Assumptions!$B$5,0)</f>
        <v/>
      </c>
      <c r="D35" s="11" t="n">
        <v>23</v>
      </c>
      <c r="E35" s="12">
        <f>$D35*Assumptions!$B$5</f>
        <v/>
      </c>
      <c r="F35" s="13">
        <f>IFERROR($B35/$E35,0)</f>
        <v/>
      </c>
      <c r="G35" s="11" t="inlineStr">
        <is>
          <t>13 on 09 Sep</t>
        </is>
      </c>
    </row>
    <row r="36">
      <c r="A36" s="10" t="inlineStr">
        <is>
          <t>Prabhukiran Narava</t>
        </is>
      </c>
      <c r="B36" s="12">
        <f>SUMIFS(Detail!$G$4:$G$182,Detail!$A$4:$A$182,$A$2,Detail!$B$4:$B$182,$A36)</f>
        <v/>
      </c>
      <c r="C36" s="12">
        <f>IFERROR($B36/Assumptions!$B$5,0)</f>
        <v/>
      </c>
      <c r="D36" s="11" t="n">
        <v>22</v>
      </c>
      <c r="E36" s="12">
        <f>$D36*Assumptions!$B$5</f>
        <v/>
      </c>
      <c r="F36" s="13">
        <f>IFERROR($B36/$E36,0)</f>
        <v/>
      </c>
      <c r="G36" s="11" t="inlineStr">
        <is>
          <t>8 on 04 Sep</t>
        </is>
      </c>
    </row>
    <row r="37">
      <c r="A37" s="3" t="inlineStr">
        <is>
          <t>TOTAL</t>
        </is>
      </c>
      <c r="B37" s="15">
        <f>SUM(B30:B36)</f>
        <v/>
      </c>
      <c r="C37" s="15">
        <f>SUM(C30:C36)</f>
        <v/>
      </c>
      <c r="D37" s="15">
        <f>SUM(D30:D36)</f>
        <v/>
      </c>
      <c r="E37" s="15">
        <f>SUM(E30:E36)</f>
        <v/>
      </c>
      <c r="F37" s="16">
        <f>IFERROR($B37/$E37,0)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2025-09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borys.rudenko</t>
        </is>
      </c>
      <c r="B5" s="10" t="inlineStr">
        <is>
          <t>SDO-7745</t>
        </is>
      </c>
      <c r="C5" s="10" t="inlineStr">
        <is>
          <t>SDO-7745 UnstructuredRemittanceInformation</t>
        </is>
      </c>
      <c r="D5" s="12">
        <f>SUMIFS(Detail!$G$4:$G$182,Detail!$A$4:$A$182,$A$2,Detail!$B$4:$B$182,$A5,Detail!$C$4:$C$182,$B5)</f>
        <v/>
      </c>
    </row>
    <row r="6">
      <c r="A6" s="10" t="inlineStr">
        <is>
          <t>borys.rudenko</t>
        </is>
      </c>
      <c r="B6" s="10" t="inlineStr">
        <is>
          <t>SPD-2834</t>
        </is>
      </c>
      <c r="C6" s="10" t="inlineStr">
        <is>
          <t>SPD-2834 VoP Data Hosting Iteration 2</t>
        </is>
      </c>
      <c r="D6" s="12">
        <f>SUMIFS(Detail!$G$4:$G$182,Detail!$A$4:$A$182,$A$2,Detail!$B$4:$B$182,$A6,Detail!$C$4:$C$182,$B6)</f>
        <v/>
      </c>
    </row>
    <row r="7">
      <c r="A7" s="10" t="inlineStr">
        <is>
          <t>Diego Silva</t>
        </is>
      </c>
      <c r="B7" s="10" t="inlineStr">
        <is>
          <t>SPD-2716</t>
        </is>
      </c>
      <c r="C7" s="10" t="inlineStr">
        <is>
          <t>SPD-2716 VoP Data Hosting Interation 1</t>
        </is>
      </c>
      <c r="D7" s="12">
        <f>SUMIFS(Detail!$G$4:$G$182,Detail!$A$4:$A$182,$A$2,Detail!$B$4:$B$182,$A7,Detail!$C$4:$C$182,$B7)</f>
        <v/>
      </c>
    </row>
    <row r="8">
      <c r="A8" s="10" t="inlineStr">
        <is>
          <t>Diego Silva</t>
        </is>
      </c>
      <c r="B8" s="10" t="inlineStr">
        <is>
          <t>SPD-2749</t>
        </is>
      </c>
      <c r="C8" s="10" t="inlineStr">
        <is>
          <t>SPD-2749 VoP Data Hosting Ingester v1</t>
        </is>
      </c>
      <c r="D8" s="12">
        <f>SUMIFS(Detail!$G$4:$G$182,Detail!$A$4:$A$182,$A$2,Detail!$B$4:$B$182,$A8,Detail!$C$4:$C$182,$B8)</f>
        <v/>
      </c>
    </row>
    <row r="9">
      <c r="A9" s="10" t="inlineStr">
        <is>
          <t>Sridhar Gnanasekaran</t>
        </is>
      </c>
      <c r="B9" s="10" t="inlineStr">
        <is>
          <t>SPD-2834</t>
        </is>
      </c>
      <c r="C9" s="10" t="inlineStr">
        <is>
          <t>SPD-2834 VoP Data Hosting Iteration 2</t>
        </is>
      </c>
      <c r="D9" s="12">
        <f>SUMIFS(Detail!$G$4:$G$182,Detail!$A$4:$A$182,$A$2,Detail!$B$4:$B$182,$A9,Detail!$C$4:$C$182,$B9)</f>
        <v/>
      </c>
    </row>
    <row r="10">
      <c r="A10" s="10" t="inlineStr">
        <is>
          <t>Juanma Tastzian</t>
        </is>
      </c>
      <c r="B10" s="10" t="inlineStr">
        <is>
          <t>SPD-2834</t>
        </is>
      </c>
      <c r="C10" s="10" t="inlineStr">
        <is>
          <t>SPD-2834 VoP Data Hosting Iteration 2</t>
        </is>
      </c>
      <c r="D10" s="12">
        <f>SUMIFS(Detail!$G$4:$G$182,Detail!$A$4:$A$182,$A$2,Detail!$B$4:$B$182,$A10,Detail!$C$4:$C$182,$B10)</f>
        <v/>
      </c>
    </row>
    <row r="11">
      <c r="A11" s="10" t="inlineStr">
        <is>
          <t>Juanma Tastzian</t>
        </is>
      </c>
      <c r="B11" s="10" t="inlineStr">
        <is>
          <t>SPD-3094</t>
        </is>
      </c>
      <c r="C11" s="10" t="inlineStr">
        <is>
          <t>SPD-3094 VoP Algorithm IPR Ready</t>
        </is>
      </c>
      <c r="D11" s="12">
        <f>SUMIFS(Detail!$G$4:$G$182,Detail!$A$4:$A$182,$A$2,Detail!$B$4:$B$182,$A11,Detail!$C$4:$C$182,$B11)</f>
        <v/>
      </c>
    </row>
    <row r="12">
      <c r="A12" s="10" t="inlineStr">
        <is>
          <t>Gerard Veldman</t>
        </is>
      </c>
      <c r="B12" s="10" t="inlineStr">
        <is>
          <t>SPD-3012</t>
        </is>
      </c>
      <c r="C12" s="10" t="inlineStr">
        <is>
          <t>SPD-3012 VoP Bulk Checker Iteration 2</t>
        </is>
      </c>
      <c r="D12" s="12">
        <f>SUMIFS(Detail!$G$4:$G$182,Detail!$A$4:$A$182,$A$2,Detail!$B$4:$B$182,$A12,Detail!$C$4:$C$182,$B12)</f>
        <v/>
      </c>
    </row>
    <row r="13">
      <c r="A13" s="10" t="inlineStr">
        <is>
          <t>Gerard Veldman</t>
        </is>
      </c>
      <c r="B13" s="10" t="inlineStr">
        <is>
          <t>SPD-3236</t>
        </is>
      </c>
      <c r="C13" s="10" t="inlineStr">
        <is>
          <t>SPD-3236 VoP Bulk Checker performance improvement</t>
        </is>
      </c>
      <c r="D13" s="12">
        <f>SUMIFS(Detail!$G$4:$G$182,Detail!$A$4:$A$182,$A$2,Detail!$B$4:$B$182,$A13,Detail!$C$4:$C$182,$B13)</f>
        <v/>
      </c>
    </row>
    <row r="14">
      <c r="A14" s="10" t="inlineStr">
        <is>
          <t>Manali Shah</t>
        </is>
      </c>
      <c r="B14" s="10" t="inlineStr">
        <is>
          <t>SPD-2834</t>
        </is>
      </c>
      <c r="C14" s="10" t="inlineStr">
        <is>
          <t>SPD-2834 VoP Data Hosting Iteration 2</t>
        </is>
      </c>
      <c r="D14" s="12">
        <f>SUMIFS(Detail!$G$4:$G$182,Detail!$A$4:$A$182,$A$2,Detail!$B$4:$B$182,$A14,Detail!$C$4:$C$182,$B14)</f>
        <v/>
      </c>
    </row>
    <row r="15">
      <c r="A15" s="10" t="inlineStr">
        <is>
          <t>Manali Shah</t>
        </is>
      </c>
      <c r="B15" s="10" t="inlineStr">
        <is>
          <t>SPD-3094</t>
        </is>
      </c>
      <c r="C15" s="10" t="inlineStr">
        <is>
          <t>SPD-3094 VoP Algorithm IPR Ready</t>
        </is>
      </c>
      <c r="D15" s="12">
        <f>SUMIFS(Detail!$G$4:$G$182,Detail!$A$4:$A$182,$A$2,Detail!$B$4:$B$182,$A15,Detail!$C$4:$C$182,$B15)</f>
        <v/>
      </c>
    </row>
    <row r="16">
      <c r="A16" s="10" t="inlineStr">
        <is>
          <t>Keerthi Shankar</t>
        </is>
      </c>
      <c r="B16" s="10" t="inlineStr">
        <is>
          <t>SPD-2716</t>
        </is>
      </c>
      <c r="C16" s="10" t="inlineStr">
        <is>
          <t>SPD-2716 VoP Data Hosting Interation 1</t>
        </is>
      </c>
      <c r="D16" s="12">
        <f>SUMIFS(Detail!$G$4:$G$182,Detail!$A$4:$A$182,$A$2,Detail!$B$4:$B$182,$A16,Detail!$C$4:$C$182,$B16)</f>
        <v/>
      </c>
    </row>
    <row r="17">
      <c r="A17" s="10" t="inlineStr">
        <is>
          <t>Keerthi Shankar</t>
        </is>
      </c>
      <c r="B17" s="10" t="inlineStr">
        <is>
          <t>SPD-2834</t>
        </is>
      </c>
      <c r="C17" s="10" t="inlineStr">
        <is>
          <t>SPD-2834 VoP Data Hosting Iteration 2</t>
        </is>
      </c>
      <c r="D17" s="12">
        <f>SUMIFS(Detail!$G$4:$G$182,Detail!$A$4:$A$182,$A$2,Detail!$B$4:$B$182,$A17,Detail!$C$4:$C$182,$B17)</f>
        <v/>
      </c>
    </row>
    <row r="18">
      <c r="A18" s="10" t="inlineStr">
        <is>
          <t>Keerthi Shankar</t>
        </is>
      </c>
      <c r="B18" s="10" t="inlineStr">
        <is>
          <t>SPD-3012</t>
        </is>
      </c>
      <c r="C18" s="10" t="inlineStr">
        <is>
          <t>SPD-3012 VoP Bulk Checker Iteration 2</t>
        </is>
      </c>
      <c r="D18" s="12">
        <f>SUMIFS(Detail!$G$4:$G$182,Detail!$A$4:$A$182,$A$2,Detail!$B$4:$B$182,$A18,Detail!$C$4:$C$182,$B18)</f>
        <v/>
      </c>
    </row>
    <row r="19">
      <c r="A19" s="10" t="inlineStr">
        <is>
          <t>Keerthi Shankar</t>
        </is>
      </c>
      <c r="B19" s="10" t="inlineStr">
        <is>
          <t>SPD-3236</t>
        </is>
      </c>
      <c r="C19" s="10" t="inlineStr">
        <is>
          <t>SPD-3236 VoP Bulk Checker performance improvement</t>
        </is>
      </c>
      <c r="D19" s="12">
        <f>SUMIFS(Detail!$G$4:$G$182,Detail!$A$4:$A$182,$A$2,Detail!$B$4:$B$182,$A19,Detail!$C$4:$C$182,$B19)</f>
        <v/>
      </c>
    </row>
    <row r="20">
      <c r="A20" s="10" t="inlineStr">
        <is>
          <t>Tjibbe van Wier</t>
        </is>
      </c>
      <c r="B20" s="10" t="inlineStr">
        <is>
          <t>SPD-3094</t>
        </is>
      </c>
      <c r="C20" s="10" t="inlineStr">
        <is>
          <t>SPD-3094 VoP Algorithm IPR Ready</t>
        </is>
      </c>
      <c r="D20" s="12">
        <f>SUMIFS(Detail!$G$4:$G$182,Detail!$A$4:$A$182,$A$2,Detail!$B$4:$B$182,$A20,Detail!$C$4:$C$182,$B20)</f>
        <v/>
      </c>
    </row>
    <row r="21">
      <c r="A21" s="10" t="inlineStr">
        <is>
          <t>Chaitanya Sagi</t>
        </is>
      </c>
      <c r="B21" s="10" t="inlineStr">
        <is>
          <t>SPD-3012</t>
        </is>
      </c>
      <c r="C21" s="10" t="inlineStr">
        <is>
          <t>SPD-3012 VoP Bulk Checker Iteration 2</t>
        </is>
      </c>
      <c r="D21" s="12">
        <f>SUMIFS(Detail!$G$4:$G$182,Detail!$A$4:$A$182,$A$2,Detail!$B$4:$B$182,$A21,Detail!$C$4:$C$182,$B21)</f>
        <v/>
      </c>
    </row>
    <row r="22">
      <c r="A22" s="17" t="n"/>
      <c r="B22" s="17" t="n"/>
      <c r="C22" s="18" t="inlineStr">
        <is>
          <t>TEAM TOTAL</t>
        </is>
      </c>
      <c r="D22" s="19">
        <f>SUM(D5:D21)</f>
        <v/>
      </c>
    </row>
    <row r="25">
      <c r="A25" s="6" t="inlineStr">
        <is>
          <t>Per engineer</t>
        </is>
      </c>
    </row>
    <row r="26">
      <c r="A26" s="9" t="inlineStr">
        <is>
          <t>Engineer</t>
        </is>
      </c>
      <c r="B26" s="9" t="inlineStr">
        <is>
          <t>WBSO hours</t>
        </is>
      </c>
      <c r="C26" s="9" t="inlineStr">
        <is>
          <t>Day equivalent</t>
        </is>
      </c>
      <c r="D26" s="9" t="inlineStr">
        <is>
          <t>Active days</t>
        </is>
      </c>
      <c r="E26" s="9" t="inlineStr">
        <is>
          <t>Capacity hours</t>
        </is>
      </c>
      <c r="F26" s="9" t="inlineStr">
        <is>
          <t>WBSO share</t>
        </is>
      </c>
      <c r="G26" s="9" t="inlineStr">
        <is>
          <t>Peak tickets/day</t>
        </is>
      </c>
    </row>
    <row r="27">
      <c r="A27" s="10" t="inlineStr">
        <is>
          <t>borys.rudenko</t>
        </is>
      </c>
      <c r="B27" s="12">
        <f>SUMIFS(Detail!$G$4:$G$182,Detail!$A$4:$A$182,$A$2,Detail!$B$4:$B$182,$A27)</f>
        <v/>
      </c>
      <c r="C27" s="12">
        <f>IFERROR($B27/Assumptions!$B$5,0)</f>
        <v/>
      </c>
      <c r="D27" s="11" t="n">
        <v>23</v>
      </c>
      <c r="E27" s="12">
        <f>$D27*Assumptions!$B$5</f>
        <v/>
      </c>
      <c r="F27" s="13">
        <f>IFERROR($B27/$E27,0)</f>
        <v/>
      </c>
      <c r="G27" s="11" t="inlineStr">
        <is>
          <t>4 on 03 Sep</t>
        </is>
      </c>
    </row>
    <row r="28">
      <c r="A28" s="10" t="inlineStr">
        <is>
          <t>Diego Silva</t>
        </is>
      </c>
      <c r="B28" s="12">
        <f>SUMIFS(Detail!$G$4:$G$182,Detail!$A$4:$A$182,$A$2,Detail!$B$4:$B$182,$A28)</f>
        <v/>
      </c>
      <c r="C28" s="12">
        <f>IFERROR($B28/Assumptions!$B$5,0)</f>
        <v/>
      </c>
      <c r="D28" s="11" t="n">
        <v>22</v>
      </c>
      <c r="E28" s="12">
        <f>$D28*Assumptions!$B$5</f>
        <v/>
      </c>
      <c r="F28" s="13">
        <f>IFERROR($B28/$E28,0)</f>
        <v/>
      </c>
      <c r="G28" s="11" t="inlineStr">
        <is>
          <t>2 on 01 Sep</t>
        </is>
      </c>
    </row>
    <row r="29">
      <c r="A29" s="10" t="inlineStr">
        <is>
          <t>Sridhar Gnanasekaran</t>
        </is>
      </c>
      <c r="B29" s="12">
        <f>SUMIFS(Detail!$G$4:$G$182,Detail!$A$4:$A$182,$A$2,Detail!$B$4:$B$182,$A29)</f>
        <v/>
      </c>
      <c r="C29" s="12">
        <f>IFERROR($B29/Assumptions!$B$5,0)</f>
        <v/>
      </c>
      <c r="D29" s="11" t="n">
        <v>22</v>
      </c>
      <c r="E29" s="12">
        <f>$D29*Assumptions!$B$5</f>
        <v/>
      </c>
      <c r="F29" s="13">
        <f>IFERROR($B29/$E29,0)</f>
        <v/>
      </c>
      <c r="G29" s="11" t="inlineStr">
        <is>
          <t>1 on 01 Sep</t>
        </is>
      </c>
    </row>
    <row r="30">
      <c r="A30" s="10" t="inlineStr">
        <is>
          <t>Juanma Tastzian</t>
        </is>
      </c>
      <c r="B30" s="12">
        <f>SUMIFS(Detail!$G$4:$G$182,Detail!$A$4:$A$182,$A$2,Detail!$B$4:$B$182,$A30)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3 on 26 Sep</t>
        </is>
      </c>
    </row>
    <row r="31">
      <c r="A31" s="10" t="inlineStr">
        <is>
          <t>Gerard Veldman</t>
        </is>
      </c>
      <c r="B31" s="12">
        <f>SUMIFS(Detail!$G$4:$G$182,Detail!$A$4:$A$182,$A$2,Detail!$B$4:$B$182,$A31)</f>
        <v/>
      </c>
      <c r="C31" s="12">
        <f>IFERROR($B31/Assumptions!$B$5,0)</f>
        <v/>
      </c>
      <c r="D31" s="11" t="n">
        <v>23</v>
      </c>
      <c r="E31" s="12">
        <f>$D31*Assumptions!$B$5</f>
        <v/>
      </c>
      <c r="F31" s="13">
        <f>IFERROR($B31/$E31,0)</f>
        <v/>
      </c>
      <c r="G31" s="11" t="inlineStr">
        <is>
          <t>5 on 18 Sep</t>
        </is>
      </c>
    </row>
    <row r="32">
      <c r="A32" s="10" t="inlineStr">
        <is>
          <t>Manali Shah</t>
        </is>
      </c>
      <c r="B32" s="12">
        <f>SUMIFS(Detail!$G$4:$G$182,Detail!$A$4:$A$182,$A$2,Detail!$B$4:$B$182,$A32)</f>
        <v/>
      </c>
      <c r="C32" s="12">
        <f>IFERROR($B32/Assumptions!$B$5,0)</f>
        <v/>
      </c>
      <c r="D32" s="11" t="n">
        <v>23</v>
      </c>
      <c r="E32" s="12">
        <f>$D32*Assumptions!$B$5</f>
        <v/>
      </c>
      <c r="F32" s="13">
        <f>IFERROR($B32/$E32,0)</f>
        <v/>
      </c>
      <c r="G32" s="11" t="inlineStr">
        <is>
          <t>6 on 11 Sep</t>
        </is>
      </c>
    </row>
    <row r="33">
      <c r="A33" s="10" t="inlineStr">
        <is>
          <t>Keerthi Shankar</t>
        </is>
      </c>
      <c r="B33" s="12">
        <f>SUMIFS(Detail!$G$4:$G$182,Detail!$A$4:$A$182,$A$2,Detail!$B$4:$B$182,$A33)</f>
        <v/>
      </c>
      <c r="C33" s="12">
        <f>IFERROR($B33/Assumptions!$B$5,0)</f>
        <v/>
      </c>
      <c r="D33" s="11" t="n">
        <v>19</v>
      </c>
      <c r="E33" s="12">
        <f>$D33*Assumptions!$B$5</f>
        <v/>
      </c>
      <c r="F33" s="13">
        <f>IFERROR($B33/$E33,0)</f>
        <v/>
      </c>
      <c r="G33" s="11" t="inlineStr">
        <is>
          <t>4 on 01 Sep</t>
        </is>
      </c>
    </row>
    <row r="34">
      <c r="A34" s="10" t="inlineStr">
        <is>
          <t>Tjibbe van Wier</t>
        </is>
      </c>
      <c r="B34" s="12">
        <f>SUMIFS(Detail!$G$4:$G$182,Detail!$A$4:$A$182,$A$2,Detail!$B$4:$B$182,$A34)</f>
        <v/>
      </c>
      <c r="C34" s="12">
        <f>IFERROR($B34/Assumptions!$B$5,0)</f>
        <v/>
      </c>
      <c r="D34" s="11" t="n">
        <v>7</v>
      </c>
      <c r="E34" s="12">
        <f>$D34*Assumptions!$B$5</f>
        <v/>
      </c>
      <c r="F34" s="13">
        <f>IFERROR($B34/$E34,0)</f>
        <v/>
      </c>
      <c r="G34" s="11" t="inlineStr">
        <is>
          <t>1 on 23 Sep</t>
        </is>
      </c>
    </row>
    <row r="35">
      <c r="A35" s="10" t="inlineStr">
        <is>
          <t>Chaitanya Sagi</t>
        </is>
      </c>
      <c r="B35" s="12">
        <f>SUMIFS(Detail!$G$4:$G$182,Detail!$A$4:$A$182,$A$2,Detail!$B$4:$B$182,$A35)</f>
        <v/>
      </c>
      <c r="C35" s="12">
        <f>IFERROR($B35/Assumptions!$B$5,0)</f>
        <v/>
      </c>
      <c r="D35" s="11" t="n">
        <v>19</v>
      </c>
      <c r="E35" s="12">
        <f>$D35*Assumptions!$B$5</f>
        <v/>
      </c>
      <c r="F35" s="13">
        <f>IFERROR($B35/$E35,0)</f>
        <v/>
      </c>
      <c r="G35" s="11" t="inlineStr">
        <is>
          <t>4 on 19 Sep</t>
        </is>
      </c>
    </row>
    <row r="36">
      <c r="A36" s="3" t="inlineStr">
        <is>
          <t>TOTAL</t>
        </is>
      </c>
      <c r="B36" s="15">
        <f>SUM(B27:B35)</f>
        <v/>
      </c>
      <c r="C36" s="15">
        <f>SUM(C27:C35)</f>
        <v/>
      </c>
      <c r="D36" s="15">
        <f>SUM(D27:D35)</f>
        <v/>
      </c>
      <c r="E36" s="15">
        <f>SUM(E27:E35)</f>
        <v/>
      </c>
      <c r="F36" s="16">
        <f>IFERROR($B36/$E36,0)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2025-09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Mark Whitworth</t>
        </is>
      </c>
      <c r="B5" s="10" t="inlineStr">
        <is>
          <t>SDO-7438</t>
        </is>
      </c>
      <c r="C5" s="10" t="inlineStr">
        <is>
          <t>SDO-7438 VOP Gateway - Enhancements</t>
        </is>
      </c>
      <c r="D5" s="12">
        <f>SUMIFS(Detail!$G$4:$G$182,Detail!$A$4:$A$182,$A$2,Detail!$B$4:$B$182,$A5,Detail!$C$4:$C$182,$B5)</f>
        <v/>
      </c>
    </row>
    <row r="6">
      <c r="A6" s="10" t="inlineStr">
        <is>
          <t>Mark Whitworth</t>
        </is>
      </c>
      <c r="B6" s="10" t="inlineStr">
        <is>
          <t>SDO-7622</t>
        </is>
      </c>
      <c r="C6" s="10" t="inlineStr">
        <is>
          <t>SDO-7622 VOP Performance investigation</t>
        </is>
      </c>
      <c r="D6" s="12">
        <f>SUMIFS(Detail!$G$4:$G$182,Detail!$A$4:$A$182,$A$2,Detail!$B$4:$B$182,$A6,Detail!$C$4:$C$182,$B6)</f>
        <v/>
      </c>
    </row>
    <row r="7">
      <c r="A7" s="10" t="inlineStr">
        <is>
          <t>Mark Whitworth</t>
        </is>
      </c>
      <c r="B7" s="10" t="inlineStr">
        <is>
          <t>SDO-7634</t>
        </is>
      </c>
      <c r="C7" s="10" t="inlineStr">
        <is>
          <t>SDO-7634 BIC Enrichment</t>
        </is>
      </c>
      <c r="D7" s="12">
        <f>SUMIFS(Detail!$G$4:$G$182,Detail!$A$4:$A$182,$A$2,Detail!$B$4:$B$182,$A7,Detail!$C$4:$C$182,$B7)</f>
        <v/>
      </c>
    </row>
    <row r="8">
      <c r="A8" s="10" t="inlineStr">
        <is>
          <t>Mark Whitworth</t>
        </is>
      </c>
      <c r="B8" s="10" t="inlineStr">
        <is>
          <t>SDO-7750</t>
        </is>
      </c>
      <c r="C8" s="10" t="inlineStr">
        <is>
          <t>SDO-7750 Algorithm Pipeline by Responder</t>
        </is>
      </c>
      <c r="D8" s="12">
        <f>SUMIFS(Detail!$G$4:$G$182,Detail!$A$4:$A$182,$A$2,Detail!$B$4:$B$182,$A8,Detail!$C$4:$C$182,$B8)</f>
        <v/>
      </c>
    </row>
    <row r="9">
      <c r="A9" s="10" t="inlineStr">
        <is>
          <t>Ioannis Argyroulis</t>
        </is>
      </c>
      <c r="B9" s="10" t="inlineStr">
        <is>
          <t>SDO-7144</t>
        </is>
      </c>
      <c r="C9" s="10" t="inlineStr">
        <is>
          <t>SDO-7144 VoP Bank API extended</t>
        </is>
      </c>
      <c r="D9" s="12">
        <f>SUMIFS(Detail!$G$4:$G$182,Detail!$A$4:$A$182,$A$2,Detail!$B$4:$B$182,$A9,Detail!$C$4:$C$182,$B9)</f>
        <v/>
      </c>
    </row>
    <row r="10">
      <c r="A10" s="10" t="inlineStr">
        <is>
          <t>Ioannis Argyroulis</t>
        </is>
      </c>
      <c r="B10" s="10" t="inlineStr">
        <is>
          <t>SDO-7438</t>
        </is>
      </c>
      <c r="C10" s="10" t="inlineStr">
        <is>
          <t>SDO-7438 VOP Gateway - Enhancements</t>
        </is>
      </c>
      <c r="D10" s="12">
        <f>SUMIFS(Detail!$G$4:$G$182,Detail!$A$4:$A$182,$A$2,Detail!$B$4:$B$182,$A10,Detail!$C$4:$C$182,$B10)</f>
        <v/>
      </c>
    </row>
    <row r="11">
      <c r="A11" s="10" t="inlineStr">
        <is>
          <t>Ioannis Argyroulis</t>
        </is>
      </c>
      <c r="B11" s="10" t="inlineStr">
        <is>
          <t>SDO-7634</t>
        </is>
      </c>
      <c r="C11" s="10" t="inlineStr">
        <is>
          <t>SDO-7634 BIC Enrichment</t>
        </is>
      </c>
      <c r="D11" s="12">
        <f>SUMIFS(Detail!$G$4:$G$182,Detail!$A$4:$A$182,$A$2,Detail!$B$4:$B$182,$A11,Detail!$C$4:$C$182,$B11)</f>
        <v/>
      </c>
    </row>
    <row r="12">
      <c r="A12" s="10" t="inlineStr">
        <is>
          <t>Ioannis Argyroulis</t>
        </is>
      </c>
      <c r="B12" s="10" t="inlineStr">
        <is>
          <t>SDO-7745</t>
        </is>
      </c>
      <c r="C12" s="10" t="inlineStr">
        <is>
          <t>SDO-7745 UnstructuredRemittanceInformation</t>
        </is>
      </c>
      <c r="D12" s="12">
        <f>SUMIFS(Detail!$G$4:$G$182,Detail!$A$4:$A$182,$A$2,Detail!$B$4:$B$182,$A12,Detail!$C$4:$C$182,$B12)</f>
        <v/>
      </c>
    </row>
    <row r="13">
      <c r="A13" s="10" t="inlineStr">
        <is>
          <t>Sheik Farzand Razi</t>
        </is>
      </c>
      <c r="B13" s="10" t="inlineStr">
        <is>
          <t>SDO-7622</t>
        </is>
      </c>
      <c r="C13" s="10" t="inlineStr">
        <is>
          <t>SDO-7622 VOP Performance investigation</t>
        </is>
      </c>
      <c r="D13" s="12">
        <f>SUMIFS(Detail!$G$4:$G$182,Detail!$A$4:$A$182,$A$2,Detail!$B$4:$B$182,$A13,Detail!$C$4:$C$182,$B13)</f>
        <v/>
      </c>
    </row>
    <row r="14">
      <c r="A14" s="10" t="inlineStr">
        <is>
          <t>Sheik Farzand Razi</t>
        </is>
      </c>
      <c r="B14" s="10" t="inlineStr">
        <is>
          <t>SDO-7634</t>
        </is>
      </c>
      <c r="C14" s="10" t="inlineStr">
        <is>
          <t>SDO-7634 BIC Enrichment</t>
        </is>
      </c>
      <c r="D14" s="12">
        <f>SUMIFS(Detail!$G$4:$G$182,Detail!$A$4:$A$182,$A$2,Detail!$B$4:$B$182,$A14,Detail!$C$4:$C$182,$B14)</f>
        <v/>
      </c>
    </row>
    <row r="15">
      <c r="A15" s="10" t="inlineStr">
        <is>
          <t>Sheik Farzand Razi</t>
        </is>
      </c>
      <c r="B15" s="10" t="inlineStr">
        <is>
          <t>SDO-7680</t>
        </is>
      </c>
      <c r="C15" s="10" t="inlineStr">
        <is>
          <t>SDO-7680 Multi region</t>
        </is>
      </c>
      <c r="D15" s="12">
        <f>SUMIFS(Detail!$G$4:$G$182,Detail!$A$4:$A$182,$A$2,Detail!$B$4:$B$182,$A15,Detail!$C$4:$C$182,$B15)</f>
        <v/>
      </c>
    </row>
    <row r="16">
      <c r="A16" s="10" t="inlineStr">
        <is>
          <t>Orwa Badran</t>
        </is>
      </c>
      <c r="B16" s="10" t="inlineStr">
        <is>
          <t>SDO-7438</t>
        </is>
      </c>
      <c r="C16" s="10" t="inlineStr">
        <is>
          <t>SDO-7438 VOP Gateway - Enhancements</t>
        </is>
      </c>
      <c r="D16" s="12">
        <f>SUMIFS(Detail!$G$4:$G$182,Detail!$A$4:$A$182,$A$2,Detail!$B$4:$B$182,$A16,Detail!$C$4:$C$182,$B16)</f>
        <v/>
      </c>
    </row>
    <row r="17">
      <c r="A17" s="10" t="inlineStr">
        <is>
          <t>Orwa Badran</t>
        </is>
      </c>
      <c r="B17" s="10" t="inlineStr">
        <is>
          <t>SDO-7622</t>
        </is>
      </c>
      <c r="C17" s="10" t="inlineStr">
        <is>
          <t>SDO-7622 VOP Performance investigation</t>
        </is>
      </c>
      <c r="D17" s="12">
        <f>SUMIFS(Detail!$G$4:$G$182,Detail!$A$4:$A$182,$A$2,Detail!$B$4:$B$182,$A17,Detail!$C$4:$C$182,$B17)</f>
        <v/>
      </c>
    </row>
    <row r="18">
      <c r="A18" s="10" t="inlineStr">
        <is>
          <t>Orwa Badran</t>
        </is>
      </c>
      <c r="B18" s="10" t="inlineStr">
        <is>
          <t>SDO-7745</t>
        </is>
      </c>
      <c r="C18" s="10" t="inlineStr">
        <is>
          <t>SDO-7745 UnstructuredRemittanceInformation</t>
        </is>
      </c>
      <c r="D18" s="12">
        <f>SUMIFS(Detail!$G$4:$G$182,Detail!$A$4:$A$182,$A$2,Detail!$B$4:$B$182,$A18,Detail!$C$4:$C$182,$B18)</f>
        <v/>
      </c>
    </row>
    <row r="19">
      <c r="A19" s="10" t="inlineStr">
        <is>
          <t>Ismail Kuyu</t>
        </is>
      </c>
      <c r="B19" s="10" t="inlineStr">
        <is>
          <t>SDO-7438</t>
        </is>
      </c>
      <c r="C19" s="10" t="inlineStr">
        <is>
          <t>SDO-7438 VOP Gateway - Enhancements</t>
        </is>
      </c>
      <c r="D19" s="12">
        <f>SUMIFS(Detail!$G$4:$G$182,Detail!$A$4:$A$182,$A$2,Detail!$B$4:$B$182,$A19,Detail!$C$4:$C$182,$B19)</f>
        <v/>
      </c>
    </row>
    <row r="20">
      <c r="A20" s="10" t="inlineStr">
        <is>
          <t>Ismail Kuyu</t>
        </is>
      </c>
      <c r="B20" s="10" t="inlineStr">
        <is>
          <t>SDO-7622</t>
        </is>
      </c>
      <c r="C20" s="10" t="inlineStr">
        <is>
          <t>SDO-7622 VOP Performance investigation</t>
        </is>
      </c>
      <c r="D20" s="12">
        <f>SUMIFS(Detail!$G$4:$G$182,Detail!$A$4:$A$182,$A$2,Detail!$B$4:$B$182,$A20,Detail!$C$4:$C$182,$B20)</f>
        <v/>
      </c>
    </row>
    <row r="21">
      <c r="A21" s="10" t="inlineStr">
        <is>
          <t>Ismail Kuyu</t>
        </is>
      </c>
      <c r="B21" s="10" t="inlineStr">
        <is>
          <t>SDO-7634</t>
        </is>
      </c>
      <c r="C21" s="10" t="inlineStr">
        <is>
          <t>SDO-7634 BIC Enrichment</t>
        </is>
      </c>
      <c r="D21" s="12">
        <f>SUMIFS(Detail!$G$4:$G$182,Detail!$A$4:$A$182,$A$2,Detail!$B$4:$B$182,$A21,Detail!$C$4:$C$182,$B21)</f>
        <v/>
      </c>
    </row>
    <row r="22">
      <c r="A22" s="10" t="inlineStr">
        <is>
          <t>Ismail Kuyu</t>
        </is>
      </c>
      <c r="B22" s="10" t="inlineStr">
        <is>
          <t>SDO-7750</t>
        </is>
      </c>
      <c r="C22" s="10" t="inlineStr">
        <is>
          <t>SDO-7750 Algorithm Pipeline by Responder</t>
        </is>
      </c>
      <c r="D22" s="12">
        <f>SUMIFS(Detail!$G$4:$G$182,Detail!$A$4:$A$182,$A$2,Detail!$B$4:$B$182,$A22,Detail!$C$4:$C$182,$B22)</f>
        <v/>
      </c>
    </row>
    <row r="23">
      <c r="A23" s="10" t="inlineStr">
        <is>
          <t>Muhammad Sulaiman</t>
        </is>
      </c>
      <c r="B23" s="10" t="inlineStr">
        <is>
          <t>SDO-5021</t>
        </is>
      </c>
      <c r="C23" s="10" t="inlineStr">
        <is>
          <t xml:space="preserve">SDO-5021 Service Improvements </t>
        </is>
      </c>
      <c r="D23" s="12">
        <f>SUMIFS(Detail!$G$4:$G$182,Detail!$A$4:$A$182,$A$2,Detail!$B$4:$B$182,$A23,Detail!$C$4:$C$182,$B23)</f>
        <v/>
      </c>
    </row>
    <row r="24">
      <c r="A24" s="10" t="inlineStr">
        <is>
          <t>Muhammad Sulaiman</t>
        </is>
      </c>
      <c r="B24" s="10" t="inlineStr">
        <is>
          <t>SDO-7634</t>
        </is>
      </c>
      <c r="C24" s="10" t="inlineStr">
        <is>
          <t>SDO-7634 BIC Enrichment</t>
        </is>
      </c>
      <c r="D24" s="12">
        <f>SUMIFS(Detail!$G$4:$G$182,Detail!$A$4:$A$182,$A$2,Detail!$B$4:$B$182,$A24,Detail!$C$4:$C$182,$B24)</f>
        <v/>
      </c>
    </row>
    <row r="25">
      <c r="A25" s="10" t="inlineStr">
        <is>
          <t>Kumar Kannan</t>
        </is>
      </c>
      <c r="B25" s="10" t="inlineStr">
        <is>
          <t>SDO-7622</t>
        </is>
      </c>
      <c r="C25" s="10" t="inlineStr">
        <is>
          <t>SDO-7622 VOP Performance investigation</t>
        </is>
      </c>
      <c r="D25" s="12">
        <f>SUMIFS(Detail!$G$4:$G$182,Detail!$A$4:$A$182,$A$2,Detail!$B$4:$B$182,$A25,Detail!$C$4:$C$182,$B25)</f>
        <v/>
      </c>
    </row>
    <row r="26">
      <c r="A26" s="10" t="inlineStr">
        <is>
          <t>Kumar Kannan</t>
        </is>
      </c>
      <c r="B26" s="10" t="inlineStr">
        <is>
          <t>SDO-7634</t>
        </is>
      </c>
      <c r="C26" s="10" t="inlineStr">
        <is>
          <t>SDO-7634 BIC Enrichment</t>
        </is>
      </c>
      <c r="D26" s="12">
        <f>SUMIFS(Detail!$G$4:$G$182,Detail!$A$4:$A$182,$A$2,Detail!$B$4:$B$182,$A26,Detail!$C$4:$C$182,$B26)</f>
        <v/>
      </c>
    </row>
    <row r="27">
      <c r="A27" s="10" t="inlineStr">
        <is>
          <t>Manali Shah</t>
        </is>
      </c>
      <c r="B27" s="10" t="inlineStr">
        <is>
          <t>SDO-7438</t>
        </is>
      </c>
      <c r="C27" s="10" t="inlineStr">
        <is>
          <t>SDO-7438 VOP Gateway - Enhancements</t>
        </is>
      </c>
      <c r="D27" s="12">
        <f>SUMIFS(Detail!$G$4:$G$182,Detail!$A$4:$A$182,$A$2,Detail!$B$4:$B$182,$A27,Detail!$C$4:$C$182,$B27)</f>
        <v/>
      </c>
    </row>
    <row r="28">
      <c r="A28" s="17" t="n"/>
      <c r="B28" s="17" t="n"/>
      <c r="C28" s="18" t="inlineStr">
        <is>
          <t>TEAM TOTAL</t>
        </is>
      </c>
      <c r="D28" s="19">
        <f>SUM(D5:D27)</f>
        <v/>
      </c>
    </row>
    <row r="31">
      <c r="A31" s="6" t="inlineStr">
        <is>
          <t>Per engineer</t>
        </is>
      </c>
    </row>
    <row r="32">
      <c r="A32" s="9" t="inlineStr">
        <is>
          <t>Engineer</t>
        </is>
      </c>
      <c r="B32" s="9" t="inlineStr">
        <is>
          <t>WBSO hours</t>
        </is>
      </c>
      <c r="C32" s="9" t="inlineStr">
        <is>
          <t>Day equivalent</t>
        </is>
      </c>
      <c r="D32" s="9" t="inlineStr">
        <is>
          <t>Active days</t>
        </is>
      </c>
      <c r="E32" s="9" t="inlineStr">
        <is>
          <t>Capacity hours</t>
        </is>
      </c>
      <c r="F32" s="9" t="inlineStr">
        <is>
          <t>WBSO share</t>
        </is>
      </c>
      <c r="G32" s="9" t="inlineStr">
        <is>
          <t>Peak tickets/day</t>
        </is>
      </c>
    </row>
    <row r="33">
      <c r="A33" s="10" t="inlineStr">
        <is>
          <t>Mark Whitworth</t>
        </is>
      </c>
      <c r="B33" s="12">
        <f>SUMIFS(Detail!$G$4:$G$182,Detail!$A$4:$A$182,$A$2,Detail!$B$4:$B$182,$A33)</f>
        <v/>
      </c>
      <c r="C33" s="12">
        <f>IFERROR($B33/Assumptions!$B$5,0)</f>
        <v/>
      </c>
      <c r="D33" s="11" t="n">
        <v>23</v>
      </c>
      <c r="E33" s="12">
        <f>$D33*Assumptions!$B$5</f>
        <v/>
      </c>
      <c r="F33" s="13">
        <f>IFERROR($B33/$E33,0)</f>
        <v/>
      </c>
      <c r="G33" s="11" t="inlineStr">
        <is>
          <t>5 on 09 Sep</t>
        </is>
      </c>
    </row>
    <row r="34">
      <c r="A34" s="10" t="inlineStr">
        <is>
          <t>Ioannis Argyroulis</t>
        </is>
      </c>
      <c r="B34" s="12">
        <f>SUMIFS(Detail!$G$4:$G$182,Detail!$A$4:$A$182,$A$2,Detail!$B$4:$B$182,$A34)</f>
        <v/>
      </c>
      <c r="C34" s="12">
        <f>IFERROR($B34/Assumptions!$B$5,0)</f>
        <v/>
      </c>
      <c r="D34" s="11" t="n">
        <v>23</v>
      </c>
      <c r="E34" s="12">
        <f>$D34*Assumptions!$B$5</f>
        <v/>
      </c>
      <c r="F34" s="13">
        <f>IFERROR($B34/$E34,0)</f>
        <v/>
      </c>
      <c r="G34" s="11" t="inlineStr">
        <is>
          <t>7 on 26 Sep</t>
        </is>
      </c>
    </row>
    <row r="35">
      <c r="A35" s="10" t="inlineStr">
        <is>
          <t>Sheik Farzand Razi</t>
        </is>
      </c>
      <c r="B35" s="12">
        <f>SUMIFS(Detail!$G$4:$G$182,Detail!$A$4:$A$182,$A$2,Detail!$B$4:$B$182,$A35)</f>
        <v/>
      </c>
      <c r="C35" s="12">
        <f>IFERROR($B35/Assumptions!$B$5,0)</f>
        <v/>
      </c>
      <c r="D35" s="11" t="n">
        <v>23</v>
      </c>
      <c r="E35" s="12">
        <f>$D35*Assumptions!$B$5</f>
        <v/>
      </c>
      <c r="F35" s="13">
        <f>IFERROR($B35/$E35,0)</f>
        <v/>
      </c>
      <c r="G35" s="11" t="inlineStr">
        <is>
          <t>8 on 23 Sep</t>
        </is>
      </c>
    </row>
    <row r="36">
      <c r="A36" s="10" t="inlineStr">
        <is>
          <t>Orwa Badran</t>
        </is>
      </c>
      <c r="B36" s="12">
        <f>SUMIFS(Detail!$G$4:$G$182,Detail!$A$4:$A$182,$A$2,Detail!$B$4:$B$182,$A36)</f>
        <v/>
      </c>
      <c r="C36" s="12">
        <f>IFERROR($B36/Assumptions!$B$5,0)</f>
        <v/>
      </c>
      <c r="D36" s="11" t="n">
        <v>13</v>
      </c>
      <c r="E36" s="12">
        <f>$D36*Assumptions!$B$5</f>
        <v/>
      </c>
      <c r="F36" s="13">
        <f>IFERROR($B36/$E36,0)</f>
        <v/>
      </c>
      <c r="G36" s="11" t="inlineStr">
        <is>
          <t>9 on 29 Sep</t>
        </is>
      </c>
    </row>
    <row r="37">
      <c r="A37" s="10" t="inlineStr">
        <is>
          <t>Ismail Kuyu</t>
        </is>
      </c>
      <c r="B37" s="12">
        <f>SUMIFS(Detail!$G$4:$G$182,Detail!$A$4:$A$182,$A$2,Detail!$B$4:$B$182,$A37)</f>
        <v/>
      </c>
      <c r="C37" s="12">
        <f>IFERROR($B37/Assumptions!$B$5,0)</f>
        <v/>
      </c>
      <c r="D37" s="11" t="n">
        <v>22</v>
      </c>
      <c r="E37" s="12">
        <f>$D37*Assumptions!$B$5</f>
        <v/>
      </c>
      <c r="F37" s="13">
        <f>IFERROR($B37/$E37,0)</f>
        <v/>
      </c>
      <c r="G37" s="11" t="inlineStr">
        <is>
          <t>6 on 09 Sep</t>
        </is>
      </c>
    </row>
    <row r="38">
      <c r="A38" s="10" t="inlineStr">
        <is>
          <t>Muhammad Sulaiman</t>
        </is>
      </c>
      <c r="B38" s="12">
        <f>SUMIFS(Detail!$G$4:$G$182,Detail!$A$4:$A$182,$A$2,Detail!$B$4:$B$182,$A38)</f>
        <v/>
      </c>
      <c r="C38" s="12">
        <f>IFERROR($B38/Assumptions!$B$5,0)</f>
        <v/>
      </c>
      <c r="D38" s="11" t="n">
        <v>22</v>
      </c>
      <c r="E38" s="12">
        <f>$D38*Assumptions!$B$5</f>
        <v/>
      </c>
      <c r="F38" s="13">
        <f>IFERROR($B38/$E38,0)</f>
        <v/>
      </c>
      <c r="G38" s="11" t="inlineStr">
        <is>
          <t>10 on 11 Sep</t>
        </is>
      </c>
    </row>
    <row r="39">
      <c r="A39" s="10" t="inlineStr">
        <is>
          <t>Kumar Kannan</t>
        </is>
      </c>
      <c r="B39" s="12">
        <f>SUMIFS(Detail!$G$4:$G$182,Detail!$A$4:$A$182,$A$2,Detail!$B$4:$B$182,$A39)</f>
        <v/>
      </c>
      <c r="C39" s="12">
        <f>IFERROR($B39/Assumptions!$B$5,0)</f>
        <v/>
      </c>
      <c r="D39" s="11" t="n">
        <v>23</v>
      </c>
      <c r="E39" s="12">
        <f>$D39*Assumptions!$B$5</f>
        <v/>
      </c>
      <c r="F39" s="13">
        <f>IFERROR($B39/$E39,0)</f>
        <v/>
      </c>
      <c r="G39" s="11" t="inlineStr">
        <is>
          <t>10 on 30 Sep</t>
        </is>
      </c>
    </row>
    <row r="40">
      <c r="A40" s="10" t="inlineStr">
        <is>
          <t>Manali Shah</t>
        </is>
      </c>
      <c r="B40" s="12">
        <f>SUMIFS(Detail!$G$4:$G$182,Detail!$A$4:$A$182,$A$2,Detail!$B$4:$B$182,$A40)</f>
        <v/>
      </c>
      <c r="C40" s="12">
        <f>IFERROR($B40/Assumptions!$B$5,0)</f>
        <v/>
      </c>
      <c r="D40" s="11" t="n">
        <v>1</v>
      </c>
      <c r="E40" s="12">
        <f>$D40*Assumptions!$B$5</f>
        <v/>
      </c>
      <c r="F40" s="13">
        <f>IFERROR($B40/$E40,0)</f>
        <v/>
      </c>
      <c r="G40" s="11" t="inlineStr">
        <is>
          <t>1 on 05 Sep</t>
        </is>
      </c>
    </row>
    <row r="41">
      <c r="A41" s="3" t="inlineStr">
        <is>
          <t>TOTAL</t>
        </is>
      </c>
      <c r="B41" s="15">
        <f>SUM(B33:B40)</f>
        <v/>
      </c>
      <c r="C41" s="15">
        <f>SUM(C33:C40)</f>
        <v/>
      </c>
      <c r="D41" s="15">
        <f>SUM(D33:D40)</f>
        <v/>
      </c>
      <c r="E41" s="15">
        <f>SUM(E33:E40)</f>
        <v/>
      </c>
      <c r="F41" s="16">
        <f>IFERROR($B41/$E41,0)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2025-09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Marin Onofrei</t>
        </is>
      </c>
      <c r="B5" s="10" t="inlineStr">
        <is>
          <t>YODA-1413</t>
        </is>
      </c>
      <c r="C5" s="10" t="inlineStr">
        <is>
          <t>YODA-1413 OPA VOP for JPM</t>
        </is>
      </c>
      <c r="D5" s="12">
        <f>SUMIFS(Detail!$G$4:$G$182,Detail!$A$4:$A$182,$A$2,Detail!$B$4:$B$182,$A5,Detail!$C$4:$C$182,$B5)</f>
        <v/>
      </c>
    </row>
    <row r="6">
      <c r="A6" s="10" t="inlineStr">
        <is>
          <t>Parth Mewada</t>
        </is>
      </c>
      <c r="B6" s="10" t="inlineStr">
        <is>
          <t>YODA-1413</t>
        </is>
      </c>
      <c r="C6" s="10" t="inlineStr">
        <is>
          <t>YODA-1413 OPA VOP for JPM</t>
        </is>
      </c>
      <c r="D6" s="12">
        <f>SUMIFS(Detail!$G$4:$G$182,Detail!$A$4:$A$182,$A$2,Detail!$B$4:$B$182,$A6,Detail!$C$4:$C$182,$B6)</f>
        <v/>
      </c>
    </row>
    <row r="7">
      <c r="A7" s="10" t="inlineStr">
        <is>
          <t>Parth Mewada</t>
        </is>
      </c>
      <c r="B7" s="10" t="inlineStr">
        <is>
          <t>YODA-1429</t>
        </is>
      </c>
      <c r="C7" s="10" t="inlineStr">
        <is>
          <t>YODA-1429 [Audit] Backup strategy</t>
        </is>
      </c>
      <c r="D7" s="12">
        <f>SUMIFS(Detail!$G$4:$G$182,Detail!$A$4:$A$182,$A$2,Detail!$B$4:$B$182,$A7,Detail!$C$4:$C$182,$B7)</f>
        <v/>
      </c>
    </row>
    <row r="8">
      <c r="A8" s="10" t="inlineStr">
        <is>
          <t>Parth Mewada</t>
        </is>
      </c>
      <c r="B8" s="10" t="inlineStr">
        <is>
          <t>YODA-1565</t>
        </is>
      </c>
      <c r="C8" s="10" t="inlineStr">
        <is>
          <t>YODA-1565 [Audit] Add second cluster: Ireland</t>
        </is>
      </c>
      <c r="D8" s="12">
        <f>SUMIFS(Detail!$G$4:$G$182,Detail!$A$4:$A$182,$A$2,Detail!$B$4:$B$182,$A8,Detail!$C$4:$C$182,$B8)</f>
        <v/>
      </c>
    </row>
    <row r="9">
      <c r="A9" s="10" t="inlineStr">
        <is>
          <t>Ramseshu Ghanta</t>
        </is>
      </c>
      <c r="B9" s="10" t="inlineStr">
        <is>
          <t>YODA-1413</t>
        </is>
      </c>
      <c r="C9" s="10" t="inlineStr">
        <is>
          <t>YODA-1413 OPA VOP for JPM</t>
        </is>
      </c>
      <c r="D9" s="12">
        <f>SUMIFS(Detail!$G$4:$G$182,Detail!$A$4:$A$182,$A$2,Detail!$B$4:$B$182,$A9,Detail!$C$4:$C$182,$B9)</f>
        <v/>
      </c>
    </row>
    <row r="10">
      <c r="A10" s="10" t="inlineStr">
        <is>
          <t>Richard Oliver</t>
        </is>
      </c>
      <c r="B10" s="10" t="inlineStr">
        <is>
          <t>YODA-1413</t>
        </is>
      </c>
      <c r="C10" s="10" t="inlineStr">
        <is>
          <t>YODA-1413 OPA VOP for JPM</t>
        </is>
      </c>
      <c r="D10" s="12">
        <f>SUMIFS(Detail!$G$4:$G$182,Detail!$A$4:$A$182,$A$2,Detail!$B$4:$B$182,$A10,Detail!$C$4:$C$182,$B10)</f>
        <v/>
      </c>
    </row>
    <row r="11">
      <c r="A11" s="10" t="inlineStr">
        <is>
          <t>Mark Moorcroft</t>
        </is>
      </c>
      <c r="B11" s="10" t="inlineStr">
        <is>
          <t>YODA-1565</t>
        </is>
      </c>
      <c r="C11" s="10" t="inlineStr">
        <is>
          <t>YODA-1565 [Audit] Add second cluster: Ireland</t>
        </is>
      </c>
      <c r="D11" s="12">
        <f>SUMIFS(Detail!$G$4:$G$182,Detail!$A$4:$A$182,$A$2,Detail!$B$4:$B$182,$A11,Detail!$C$4:$C$182,$B11)</f>
        <v/>
      </c>
    </row>
    <row r="12">
      <c r="A12" s="10" t="inlineStr">
        <is>
          <t>Shrikant Patil</t>
        </is>
      </c>
      <c r="B12" s="10" t="inlineStr">
        <is>
          <t>YODA-1413</t>
        </is>
      </c>
      <c r="C12" s="10" t="inlineStr">
        <is>
          <t>YODA-1413 OPA VOP for JPM</t>
        </is>
      </c>
      <c r="D12" s="12">
        <f>SUMIFS(Detail!$G$4:$G$182,Detail!$A$4:$A$182,$A$2,Detail!$B$4:$B$182,$A12,Detail!$C$4:$C$182,$B12)</f>
        <v/>
      </c>
    </row>
    <row r="13">
      <c r="A13" s="17" t="n"/>
      <c r="B13" s="17" t="n"/>
      <c r="C13" s="18" t="inlineStr">
        <is>
          <t>TEAM TOTAL</t>
        </is>
      </c>
      <c r="D13" s="19">
        <f>SUM(D5:D12)</f>
        <v/>
      </c>
    </row>
    <row r="16">
      <c r="A16" s="6" t="inlineStr">
        <is>
          <t>Per engineer</t>
        </is>
      </c>
    </row>
    <row r="17">
      <c r="A17" s="9" t="inlineStr">
        <is>
          <t>Engineer</t>
        </is>
      </c>
      <c r="B17" s="9" t="inlineStr">
        <is>
          <t>WBSO hours</t>
        </is>
      </c>
      <c r="C17" s="9" t="inlineStr">
        <is>
          <t>Day equivalent</t>
        </is>
      </c>
      <c r="D17" s="9" t="inlineStr">
        <is>
          <t>Active days</t>
        </is>
      </c>
      <c r="E17" s="9" t="inlineStr">
        <is>
          <t>Capacity hours</t>
        </is>
      </c>
      <c r="F17" s="9" t="inlineStr">
        <is>
          <t>WBSO share</t>
        </is>
      </c>
      <c r="G17" s="9" t="inlineStr">
        <is>
          <t>Peak tickets/day</t>
        </is>
      </c>
    </row>
    <row r="18">
      <c r="A18" s="10" t="inlineStr">
        <is>
          <t>Marin Onofrei</t>
        </is>
      </c>
      <c r="B18" s="12">
        <f>SUMIFS(Detail!$G$4:$G$182,Detail!$A$4:$A$182,$A$2,Detail!$B$4:$B$182,$A18)</f>
        <v/>
      </c>
      <c r="C18" s="12">
        <f>IFERROR($B18/Assumptions!$B$5,0)</f>
        <v/>
      </c>
      <c r="D18" s="11" t="n">
        <v>22</v>
      </c>
      <c r="E18" s="12">
        <f>$D18*Assumptions!$B$5</f>
        <v/>
      </c>
      <c r="F18" s="13">
        <f>IFERROR($B18/$E18,0)</f>
        <v/>
      </c>
      <c r="G18" s="11" t="inlineStr">
        <is>
          <t>2 on 02 Sep</t>
        </is>
      </c>
    </row>
    <row r="19">
      <c r="A19" s="10" t="inlineStr">
        <is>
          <t>Parth Mewada</t>
        </is>
      </c>
      <c r="B19" s="12">
        <f>SUMIFS(Detail!$G$4:$G$182,Detail!$A$4:$A$182,$A$2,Detail!$B$4:$B$182,$A19)</f>
        <v/>
      </c>
      <c r="C19" s="12">
        <f>IFERROR($B19/Assumptions!$B$5,0)</f>
        <v/>
      </c>
      <c r="D19" s="11" t="n">
        <v>23</v>
      </c>
      <c r="E19" s="12">
        <f>$D19*Assumptions!$B$5</f>
        <v/>
      </c>
      <c r="F19" s="13">
        <f>IFERROR($B19/$E19,0)</f>
        <v/>
      </c>
      <c r="G19" s="11" t="inlineStr">
        <is>
          <t>5 on 03 Sep</t>
        </is>
      </c>
    </row>
    <row r="20">
      <c r="A20" s="10" t="inlineStr">
        <is>
          <t>Ramseshu Ghanta</t>
        </is>
      </c>
      <c r="B20" s="12">
        <f>SUMIFS(Detail!$G$4:$G$182,Detail!$A$4:$A$182,$A$2,Detail!$B$4:$B$182,$A20)</f>
        <v/>
      </c>
      <c r="C20" s="12">
        <f>IFERROR($B20/Assumptions!$B$5,0)</f>
        <v/>
      </c>
      <c r="D20" s="11" t="n">
        <v>23</v>
      </c>
      <c r="E20" s="12">
        <f>$D20*Assumptions!$B$5</f>
        <v/>
      </c>
      <c r="F20" s="13">
        <f>IFERROR($B20/$E20,0)</f>
        <v/>
      </c>
      <c r="G20" s="11" t="inlineStr">
        <is>
          <t>3 on 01 Sep</t>
        </is>
      </c>
    </row>
    <row r="21">
      <c r="A21" s="10" t="inlineStr">
        <is>
          <t>Richard Oliver</t>
        </is>
      </c>
      <c r="B21" s="12">
        <f>SUMIFS(Detail!$G$4:$G$182,Detail!$A$4:$A$182,$A$2,Detail!$B$4:$B$182,$A21)</f>
        <v/>
      </c>
      <c r="C21" s="12">
        <f>IFERROR($B21/Assumptions!$B$5,0)</f>
        <v/>
      </c>
      <c r="D21" s="11" t="n">
        <v>23</v>
      </c>
      <c r="E21" s="12">
        <f>$D21*Assumptions!$B$5</f>
        <v/>
      </c>
      <c r="F21" s="13">
        <f>IFERROR($B21/$E21,0)</f>
        <v/>
      </c>
      <c r="G21" s="11" t="inlineStr">
        <is>
          <t>5 on 09 Sep</t>
        </is>
      </c>
    </row>
    <row r="22">
      <c r="A22" s="10" t="inlineStr">
        <is>
          <t>Mark Moorcroft</t>
        </is>
      </c>
      <c r="B22" s="12">
        <f>SUMIFS(Detail!$G$4:$G$182,Detail!$A$4:$A$182,$A$2,Detail!$B$4:$B$182,$A22)</f>
        <v/>
      </c>
      <c r="C22" s="12">
        <f>IFERROR($B22/Assumptions!$B$5,0)</f>
        <v/>
      </c>
      <c r="D22" s="11" t="n">
        <v>22</v>
      </c>
      <c r="E22" s="12">
        <f>$D22*Assumptions!$B$5</f>
        <v/>
      </c>
      <c r="F22" s="13">
        <f>IFERROR($B22/$E22,0)</f>
        <v/>
      </c>
      <c r="G22" s="11" t="inlineStr">
        <is>
          <t>5 on 18 Sep</t>
        </is>
      </c>
    </row>
    <row r="23">
      <c r="A23" s="10" t="inlineStr">
        <is>
          <t>Shrikant Patil</t>
        </is>
      </c>
      <c r="B23" s="12">
        <f>SUMIFS(Detail!$G$4:$G$182,Detail!$A$4:$A$182,$A$2,Detail!$B$4:$B$182,$A23)</f>
        <v/>
      </c>
      <c r="C23" s="12">
        <f>IFERROR($B23/Assumptions!$B$5,0)</f>
        <v/>
      </c>
      <c r="D23" s="11" t="n">
        <v>10</v>
      </c>
      <c r="E23" s="12">
        <f>$D23*Assumptions!$B$5</f>
        <v/>
      </c>
      <c r="F23" s="13">
        <f>IFERROR($B23/$E23,0)</f>
        <v/>
      </c>
      <c r="G23" s="11" t="inlineStr">
        <is>
          <t>3 on 30 Sep</t>
        </is>
      </c>
    </row>
    <row r="24">
      <c r="A24" s="3" t="inlineStr">
        <is>
          <t>TOTAL</t>
        </is>
      </c>
      <c r="B24" s="15">
        <f>SUM(B18:B23)</f>
        <v/>
      </c>
      <c r="C24" s="15">
        <f>SUM(C18:C23)</f>
        <v/>
      </c>
      <c r="D24" s="15">
        <f>SUM(D18:D23)</f>
        <v/>
      </c>
      <c r="E24" s="15">
        <f>SUM(E18:E23)</f>
        <v/>
      </c>
      <c r="F24" s="16">
        <f>IFERROR($B24/$E24,0)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Vitor Fernandes</t>
        </is>
      </c>
      <c r="C4" s="10" t="inlineStr">
        <is>
          <t>PT-351</t>
        </is>
      </c>
      <c r="D4" s="10" t="inlineStr">
        <is>
          <t>PT-351 VOP File Check Improvements</t>
        </is>
      </c>
      <c r="E4" s="10" t="inlineStr">
        <is>
          <t>PT-369</t>
        </is>
      </c>
      <c r="F4" s="10" t="inlineStr">
        <is>
          <t xml:space="preserve">Add new Header for File Encoding (VOP - Bulk </t>
        </is>
      </c>
      <c r="G4" s="20" t="n">
        <v>16.2667</v>
      </c>
    </row>
    <row r="5">
      <c r="A5" s="10" t="inlineStr">
        <is>
          <t>Pastel de Portal Team</t>
        </is>
      </c>
      <c r="B5" s="10" t="inlineStr">
        <is>
          <t>Vitor Fernandes</t>
        </is>
      </c>
      <c r="C5" s="10" t="inlineStr">
        <is>
          <t>PT-54</t>
        </is>
      </c>
      <c r="D5" s="10" t="inlineStr">
        <is>
          <t>PT-54 VOP File Check</t>
        </is>
      </c>
      <c r="E5" s="10" t="inlineStr">
        <is>
          <t>PT-215</t>
        </is>
      </c>
      <c r="F5" s="10" t="inlineStr">
        <is>
          <t>VoP File Check Error Messages</t>
        </is>
      </c>
      <c r="G5" s="20" t="n">
        <v>35.8667</v>
      </c>
    </row>
    <row r="6">
      <c r="A6" s="10" t="inlineStr">
        <is>
          <t>Pastel de Portal Team</t>
        </is>
      </c>
      <c r="B6" s="10" t="inlineStr">
        <is>
          <t>Vitor Fernandes</t>
        </is>
      </c>
      <c r="C6" s="10" t="inlineStr">
        <is>
          <t>PT-54</t>
        </is>
      </c>
      <c r="D6" s="10" t="inlineStr">
        <is>
          <t>PT-54 VOP File Check</t>
        </is>
      </c>
      <c r="E6" s="10" t="inlineStr">
        <is>
          <t>PT-214</t>
        </is>
      </c>
      <c r="F6" s="10" t="inlineStr">
        <is>
          <t>VoP File Check UI Improvements</t>
        </is>
      </c>
      <c r="G6" s="20" t="n">
        <v>10</v>
      </c>
    </row>
    <row r="7">
      <c r="A7" s="10" t="inlineStr">
        <is>
          <t>Pastel de Portal Team</t>
        </is>
      </c>
      <c r="B7" s="10" t="inlineStr">
        <is>
          <t>Elisabeth Gie</t>
        </is>
      </c>
      <c r="C7" s="10" t="inlineStr">
        <is>
          <t>PT-54</t>
        </is>
      </c>
      <c r="D7" s="10" t="inlineStr">
        <is>
          <t>PT-54 VOP File Check</t>
        </is>
      </c>
      <c r="E7" s="10" t="inlineStr">
        <is>
          <t>PT-338</t>
        </is>
      </c>
      <c r="F7" s="10" t="inlineStr">
        <is>
          <t>Test all CSV encoding in VOP File Check</t>
        </is>
      </c>
      <c r="G7" s="20" t="n">
        <v>24</v>
      </c>
    </row>
    <row r="8">
      <c r="A8" s="10" t="inlineStr">
        <is>
          <t>Pastel de Portal Team</t>
        </is>
      </c>
      <c r="B8" s="10" t="inlineStr">
        <is>
          <t>alan.silva</t>
        </is>
      </c>
      <c r="C8" s="10" t="inlineStr">
        <is>
          <t>PT-22</t>
        </is>
      </c>
      <c r="D8" s="10" t="inlineStr">
        <is>
          <t>PT-22 VOP Single Check</t>
        </is>
      </c>
      <c r="E8" s="10" t="inlineStr">
        <is>
          <t>PT-279</t>
        </is>
      </c>
      <c r="F8" s="10" t="inlineStr">
        <is>
          <t>Fix name too short and inactive scenario's</t>
        </is>
      </c>
      <c r="G8" s="20" t="n">
        <v>4.2667</v>
      </c>
    </row>
    <row r="9">
      <c r="A9" s="10" t="inlineStr">
        <is>
          <t>Pastel de Portal Team</t>
        </is>
      </c>
      <c r="B9" s="10" t="inlineStr">
        <is>
          <t>alan.silva</t>
        </is>
      </c>
      <c r="C9" s="10" t="inlineStr">
        <is>
          <t>PT-54</t>
        </is>
      </c>
      <c r="D9" s="10" t="inlineStr">
        <is>
          <t>PT-54 VOP File Check</t>
        </is>
      </c>
      <c r="E9" s="10" t="inlineStr">
        <is>
          <t>PT-214</t>
        </is>
      </c>
      <c r="F9" s="10" t="inlineStr">
        <is>
          <t>VoP File Check UI Improvements</t>
        </is>
      </c>
      <c r="G9" s="20" t="n">
        <v>8.2667</v>
      </c>
    </row>
    <row r="10">
      <c r="A10" s="10" t="inlineStr">
        <is>
          <t>Pastel de Portal Team</t>
        </is>
      </c>
      <c r="B10" s="10" t="inlineStr">
        <is>
          <t>alan.silva</t>
        </is>
      </c>
      <c r="C10" s="10" t="inlineStr">
        <is>
          <t>PT-54</t>
        </is>
      </c>
      <c r="D10" s="10" t="inlineStr">
        <is>
          <t>PT-54 VOP File Check</t>
        </is>
      </c>
      <c r="E10" s="10" t="inlineStr">
        <is>
          <t>PT-215</t>
        </is>
      </c>
      <c r="F10" s="10" t="inlineStr">
        <is>
          <t>VoP File Check Error Messages</t>
        </is>
      </c>
      <c r="G10" s="20" t="n">
        <v>2.2857</v>
      </c>
    </row>
    <row r="11">
      <c r="A11" s="10" t="inlineStr">
        <is>
          <t>Pastel de Portal Team</t>
        </is>
      </c>
      <c r="B11" s="10" t="inlineStr">
        <is>
          <t>alan.silva</t>
        </is>
      </c>
      <c r="C11" s="10" t="inlineStr">
        <is>
          <t>PT-54</t>
        </is>
      </c>
      <c r="D11" s="10" t="inlineStr">
        <is>
          <t>PT-54 VOP File Check</t>
        </is>
      </c>
      <c r="E11" s="10" t="inlineStr">
        <is>
          <t>PT-338</t>
        </is>
      </c>
      <c r="F11" s="10" t="inlineStr">
        <is>
          <t>Test all CSV encoding in VOP File Check</t>
        </is>
      </c>
      <c r="G11" s="20" t="n">
        <v>1.6</v>
      </c>
    </row>
    <row r="12">
      <c r="A12" s="10" t="inlineStr">
        <is>
          <t>Pastel de Portal Team</t>
        </is>
      </c>
      <c r="B12" s="10" t="inlineStr">
        <is>
          <t>gustavo.palminha</t>
        </is>
      </c>
      <c r="C12" s="10" t="inlineStr">
        <is>
          <t>PT-22</t>
        </is>
      </c>
      <c r="D12" s="10" t="inlineStr">
        <is>
          <t>PT-22 VOP Single Check</t>
        </is>
      </c>
      <c r="E12" s="10" t="inlineStr">
        <is>
          <t>PT-279</t>
        </is>
      </c>
      <c r="F12" s="10" t="inlineStr">
        <is>
          <t>Fix name too short and inactive scenario's</t>
        </is>
      </c>
      <c r="G12" s="20" t="n">
        <v>12</v>
      </c>
    </row>
    <row r="13">
      <c r="A13" s="10" t="inlineStr">
        <is>
          <t>Platform Team 6</t>
        </is>
      </c>
      <c r="B13" s="10" t="inlineStr">
        <is>
          <t>Elton Qevani</t>
        </is>
      </c>
      <c r="C13" s="10" t="inlineStr">
        <is>
          <t>PT6-1670</t>
        </is>
      </c>
      <c r="D13" s="10" t="inlineStr">
        <is>
          <t xml:space="preserve">PT6-1670 Multi region </t>
        </is>
      </c>
      <c r="E13" s="10" t="inlineStr">
        <is>
          <t>PT6-1816</t>
        </is>
      </c>
      <c r="F13" s="10" t="inlineStr">
        <is>
          <t>Deploy traefik-outbound (infra) to second reg</t>
        </is>
      </c>
      <c r="G13" s="20" t="n">
        <v>34.6667</v>
      </c>
    </row>
    <row r="14">
      <c r="A14" s="10" t="inlineStr">
        <is>
          <t>Platform Team 6</t>
        </is>
      </c>
      <c r="B14" s="10" t="inlineStr">
        <is>
          <t>Elton Qevani</t>
        </is>
      </c>
      <c r="C14" s="10" t="inlineStr">
        <is>
          <t>PT6-1670</t>
        </is>
      </c>
      <c r="D14" s="10" t="inlineStr">
        <is>
          <t xml:space="preserve">PT6-1670 Multi region </t>
        </is>
      </c>
      <c r="E14" s="10" t="inlineStr">
        <is>
          <t>PT6-1780</t>
        </is>
      </c>
      <c r="F14" s="10" t="inlineStr">
        <is>
          <t>Migrate infra-eu-cross-border-adapters networ</t>
        </is>
      </c>
      <c r="G14" s="20" t="n">
        <v>32</v>
      </c>
    </row>
    <row r="15">
      <c r="A15" s="10" t="inlineStr">
        <is>
          <t>Platform Team 6</t>
        </is>
      </c>
      <c r="B15" s="10" t="inlineStr">
        <is>
          <t>Elton Qevani</t>
        </is>
      </c>
      <c r="C15" s="10" t="inlineStr">
        <is>
          <t>PT6-1670</t>
        </is>
      </c>
      <c r="D15" s="10" t="inlineStr">
        <is>
          <t xml:space="preserve">PT6-1670 Multi region </t>
        </is>
      </c>
      <c r="E15" s="10" t="inlineStr">
        <is>
          <t>PT6-1783</t>
        </is>
      </c>
      <c r="F15" s="10" t="inlineStr">
        <is>
          <t>Deploy eks-ingress to second region</t>
        </is>
      </c>
      <c r="G15" s="20" t="n">
        <v>28</v>
      </c>
    </row>
    <row r="16">
      <c r="A16" s="10" t="inlineStr">
        <is>
          <t>Platform Team 6</t>
        </is>
      </c>
      <c r="B16" s="10" t="inlineStr">
        <is>
          <t>Elton Qevani</t>
        </is>
      </c>
      <c r="C16" s="10" t="inlineStr">
        <is>
          <t>PT6-1670</t>
        </is>
      </c>
      <c r="D16" s="10" t="inlineStr">
        <is>
          <t xml:space="preserve">PT6-1670 Multi region </t>
        </is>
      </c>
      <c r="E16" s="10" t="inlineStr">
        <is>
          <t>PT6-1843</t>
        </is>
      </c>
      <c r="F16" s="10" t="inlineStr">
        <is>
          <t>Deploy infra-monitoring-uk to second region</t>
        </is>
      </c>
      <c r="G16" s="20" t="n">
        <v>28</v>
      </c>
    </row>
    <row r="17">
      <c r="A17" s="10" t="inlineStr">
        <is>
          <t>Platform Team 6</t>
        </is>
      </c>
      <c r="B17" s="10" t="inlineStr">
        <is>
          <t>Elton Qevani</t>
        </is>
      </c>
      <c r="C17" s="10" t="inlineStr">
        <is>
          <t>PT6-1670</t>
        </is>
      </c>
      <c r="D17" s="10" t="inlineStr">
        <is>
          <t xml:space="preserve">PT6-1670 Multi region </t>
        </is>
      </c>
      <c r="E17" s="10" t="inlineStr">
        <is>
          <t>PT6-1794</t>
        </is>
      </c>
      <c r="F17" s="10" t="inlineStr">
        <is>
          <t>Deploy traefik ingress and config to second r</t>
        </is>
      </c>
      <c r="G17" s="20" t="n">
        <v>20</v>
      </c>
    </row>
    <row r="18">
      <c r="A18" s="10" t="inlineStr">
        <is>
          <t>Platform Team 6</t>
        </is>
      </c>
      <c r="B18" s="10" t="inlineStr">
        <is>
          <t>Elton Qevani</t>
        </is>
      </c>
      <c r="C18" s="10" t="inlineStr">
        <is>
          <t>PT6-1670</t>
        </is>
      </c>
      <c r="D18" s="10" t="inlineStr">
        <is>
          <t xml:space="preserve">PT6-1670 Multi region </t>
        </is>
      </c>
      <c r="E18" s="10" t="inlineStr">
        <is>
          <t>PT6-1781</t>
        </is>
      </c>
      <c r="F18" s="10" t="inlineStr">
        <is>
          <t>Migrate infra-org networking to eu-networking</t>
        </is>
      </c>
      <c r="G18" s="20" t="n">
        <v>12</v>
      </c>
    </row>
    <row r="19">
      <c r="A19" s="10" t="inlineStr">
        <is>
          <t>Platform Team 6</t>
        </is>
      </c>
      <c r="B19" s="10" t="inlineStr">
        <is>
          <t>Elton Qevani</t>
        </is>
      </c>
      <c r="C19" s="10" t="inlineStr">
        <is>
          <t>PT6-1670</t>
        </is>
      </c>
      <c r="D19" s="10" t="inlineStr">
        <is>
          <t xml:space="preserve">PT6-1670 Multi region </t>
        </is>
      </c>
      <c r="E19" s="10" t="inlineStr">
        <is>
          <t>PT6-1782</t>
        </is>
      </c>
      <c r="F19" s="10" t="inlineStr">
        <is>
          <t>Migrate infra-dataprovisoning networking to e</t>
        </is>
      </c>
      <c r="G19" s="20" t="n">
        <v>10.6667</v>
      </c>
    </row>
    <row r="20">
      <c r="A20" s="10" t="inlineStr">
        <is>
          <t>Platform Team 6</t>
        </is>
      </c>
      <c r="B20" s="10" t="inlineStr">
        <is>
          <t>Elton Qevani</t>
        </is>
      </c>
      <c r="C20" s="10" t="inlineStr">
        <is>
          <t>PT6-1670</t>
        </is>
      </c>
      <c r="D20" s="10" t="inlineStr">
        <is>
          <t xml:space="preserve">PT6-1670 Multi region </t>
        </is>
      </c>
      <c r="E20" s="10" t="inlineStr">
        <is>
          <t>PT6-1884</t>
        </is>
      </c>
      <c r="F20" s="10" t="inlineStr">
        <is>
          <t>Create apigee resources for new vop endpoint</t>
        </is>
      </c>
      <c r="G20" s="20" t="n">
        <v>8</v>
      </c>
    </row>
    <row r="21">
      <c r="A21" s="10" t="inlineStr">
        <is>
          <t>Platform Team 6</t>
        </is>
      </c>
      <c r="B21" s="10" t="inlineStr">
        <is>
          <t>Elton Qevani</t>
        </is>
      </c>
      <c r="C21" s="10" t="inlineStr">
        <is>
          <t>PT6-1670</t>
        </is>
      </c>
      <c r="D21" s="10" t="inlineStr">
        <is>
          <t xml:space="preserve">PT6-1670 Multi region </t>
        </is>
      </c>
      <c r="E21" s="10" t="inlineStr">
        <is>
          <t>PT6-1827</t>
        </is>
      </c>
      <c r="F21" s="10" t="inlineStr">
        <is>
          <t>Modify all the already migrated vpc to use th</t>
        </is>
      </c>
      <c r="G21" s="20" t="n">
        <v>2.6667</v>
      </c>
    </row>
    <row r="22">
      <c r="A22" s="10" t="inlineStr">
        <is>
          <t>Platform Team 6</t>
        </is>
      </c>
      <c r="B22" s="10" t="inlineStr">
        <is>
          <t>Venkata Mannam</t>
        </is>
      </c>
      <c r="C22" s="10" t="inlineStr">
        <is>
          <t>PT6-1419</t>
        </is>
      </c>
      <c r="D22" s="10" t="inlineStr">
        <is>
          <t>PT6-1419 Traefik migration V3</t>
        </is>
      </c>
      <c r="E22" s="10" t="inlineStr">
        <is>
          <t>PT6-1640</t>
        </is>
      </c>
      <c r="F22" s="10" t="inlineStr">
        <is>
          <t>Migrate developer-portal traefik k8s resource</t>
        </is>
      </c>
      <c r="G22" s="20" t="n">
        <v>12.9333</v>
      </c>
    </row>
    <row r="23">
      <c r="A23" s="10" t="inlineStr">
        <is>
          <t>Platform Team 6</t>
        </is>
      </c>
      <c r="B23" s="10" t="inlineStr">
        <is>
          <t>Venkata Mannam</t>
        </is>
      </c>
      <c r="C23" s="10" t="inlineStr">
        <is>
          <t>PT6-1670</t>
        </is>
      </c>
      <c r="D23" s="10" t="inlineStr">
        <is>
          <t xml:space="preserve">PT6-1670 Multi region </t>
        </is>
      </c>
      <c r="E23" s="10" t="inlineStr">
        <is>
          <t>PT6-1828</t>
        </is>
      </c>
      <c r="F23" s="10" t="inlineStr">
        <is>
          <t>Make audit vop bucket available to central</t>
        </is>
      </c>
      <c r="G23" s="20" t="n">
        <v>26.6667</v>
      </c>
    </row>
    <row r="24">
      <c r="A24" s="10" t="inlineStr">
        <is>
          <t>Platform Team 6</t>
        </is>
      </c>
      <c r="B24" s="10" t="inlineStr">
        <is>
          <t>Venkata Mannam</t>
        </is>
      </c>
      <c r="C24" s="10" t="inlineStr">
        <is>
          <t>PT6-1670</t>
        </is>
      </c>
      <c r="D24" s="10" t="inlineStr">
        <is>
          <t xml:space="preserve">PT6-1670 Multi region </t>
        </is>
      </c>
      <c r="E24" s="10" t="inlineStr">
        <is>
          <t>PT6-1751</t>
        </is>
      </c>
      <c r="F24" s="10" t="inlineStr">
        <is>
          <t>Investigate reaching a sqs from another regio</t>
        </is>
      </c>
      <c r="G24" s="20" t="n">
        <v>24</v>
      </c>
    </row>
    <row r="25">
      <c r="A25" s="10" t="inlineStr">
        <is>
          <t>Platform Team 6</t>
        </is>
      </c>
      <c r="B25" s="10" t="inlineStr">
        <is>
          <t>Venkata Mannam</t>
        </is>
      </c>
      <c r="C25" s="10" t="inlineStr">
        <is>
          <t>PT6-1670</t>
        </is>
      </c>
      <c r="D25" s="10" t="inlineStr">
        <is>
          <t xml:space="preserve">PT6-1670 Multi region </t>
        </is>
      </c>
      <c r="E25" s="10" t="inlineStr">
        <is>
          <t>PT6-1781</t>
        </is>
      </c>
      <c r="F25" s="10" t="inlineStr">
        <is>
          <t>Migrate infra-org networking to eu-networking</t>
        </is>
      </c>
      <c r="G25" s="20" t="n">
        <v>15.6</v>
      </c>
    </row>
    <row r="26">
      <c r="A26" s="10" t="inlineStr">
        <is>
          <t>Platform Team 6</t>
        </is>
      </c>
      <c r="B26" s="10" t="inlineStr">
        <is>
          <t>Venkata Mannam</t>
        </is>
      </c>
      <c r="C26" s="10" t="inlineStr">
        <is>
          <t>PT6-1670</t>
        </is>
      </c>
      <c r="D26" s="10" t="inlineStr">
        <is>
          <t xml:space="preserve">PT6-1670 Multi region </t>
        </is>
      </c>
      <c r="E26" s="10" t="inlineStr">
        <is>
          <t>PT6-1777</t>
        </is>
      </c>
      <c r="F26" s="10" t="inlineStr">
        <is>
          <t>Migrate infra-nl networking to eu-networking</t>
        </is>
      </c>
      <c r="G26" s="20" t="n">
        <v>12.9333</v>
      </c>
    </row>
    <row r="27">
      <c r="A27" s="10" t="inlineStr">
        <is>
          <t>Platform Team 6</t>
        </is>
      </c>
      <c r="B27" s="10" t="inlineStr">
        <is>
          <t>Venkata Mannam</t>
        </is>
      </c>
      <c r="C27" s="10" t="inlineStr">
        <is>
          <t>PT6-1713</t>
        </is>
      </c>
      <c r="D27" s="10" t="inlineStr">
        <is>
          <t>PT6-1713 Autoscaling</t>
        </is>
      </c>
      <c r="E27" s="10" t="inlineStr">
        <is>
          <t>PT6-1749</t>
        </is>
      </c>
      <c r="F27" s="10" t="inlineStr">
        <is>
          <t>Increase Traefik readiness/liveness probes</t>
        </is>
      </c>
      <c r="G27" s="20" t="n">
        <v>6.6667</v>
      </c>
    </row>
    <row r="28">
      <c r="A28" s="10" t="inlineStr">
        <is>
          <t>Platform Team 6</t>
        </is>
      </c>
      <c r="B28" s="10" t="inlineStr">
        <is>
          <t>Iakovos Belonias</t>
        </is>
      </c>
      <c r="C28" s="10" t="inlineStr">
        <is>
          <t>PT6-1670</t>
        </is>
      </c>
      <c r="D28" s="10" t="inlineStr">
        <is>
          <t xml:space="preserve">PT6-1670 Multi region </t>
        </is>
      </c>
      <c r="E28" s="10" t="inlineStr">
        <is>
          <t>PT6-1826</t>
        </is>
      </c>
      <c r="F28" s="10" t="inlineStr">
        <is>
          <t>Deploy infra-vop to second region</t>
        </is>
      </c>
      <c r="G28" s="20" t="n">
        <v>44</v>
      </c>
    </row>
    <row r="29">
      <c r="A29" s="10" t="inlineStr">
        <is>
          <t>Platform Team 6</t>
        </is>
      </c>
      <c r="B29" s="10" t="inlineStr">
        <is>
          <t>Iakovos Belonias</t>
        </is>
      </c>
      <c r="C29" s="10" t="inlineStr">
        <is>
          <t>PT6-1670</t>
        </is>
      </c>
      <c r="D29" s="10" t="inlineStr">
        <is>
          <t xml:space="preserve">PT6-1670 Multi region </t>
        </is>
      </c>
      <c r="E29" s="10" t="inlineStr">
        <is>
          <t>PT6-1750</t>
        </is>
      </c>
      <c r="F29" s="10" t="inlineStr">
        <is>
          <t>Demolish core-adapters</t>
        </is>
      </c>
      <c r="G29" s="20" t="n">
        <v>31.3333</v>
      </c>
    </row>
    <row r="30">
      <c r="A30" s="10" t="inlineStr">
        <is>
          <t>Platform Team 6</t>
        </is>
      </c>
      <c r="B30" s="10" t="inlineStr">
        <is>
          <t>Iakovos Belonias</t>
        </is>
      </c>
      <c r="C30" s="10" t="inlineStr">
        <is>
          <t>PT6-1670</t>
        </is>
      </c>
      <c r="D30" s="10" t="inlineStr">
        <is>
          <t xml:space="preserve">PT6-1670 Multi region </t>
        </is>
      </c>
      <c r="E30" s="10" t="inlineStr">
        <is>
          <t>PT6-1838</t>
        </is>
      </c>
      <c r="F30" s="10" t="inlineStr">
        <is>
          <t>Replicate ecr repos to central</t>
        </is>
      </c>
      <c r="G30" s="20" t="n">
        <v>16</v>
      </c>
    </row>
    <row r="31">
      <c r="A31" s="10" t="inlineStr">
        <is>
          <t>Platform Team 6</t>
        </is>
      </c>
      <c r="B31" s="10" t="inlineStr">
        <is>
          <t>Mete Han Karacüllü</t>
        </is>
      </c>
      <c r="C31" s="10" t="inlineStr">
        <is>
          <t>PT6-1670</t>
        </is>
      </c>
      <c r="D31" s="10" t="inlineStr">
        <is>
          <t xml:space="preserve">PT6-1670 Multi region </t>
        </is>
      </c>
      <c r="E31" s="10" t="inlineStr">
        <is>
          <t>PT6-1817</t>
        </is>
      </c>
      <c r="F31" s="10" t="inlineStr">
        <is>
          <t>Enable ssm replication lambda</t>
        </is>
      </c>
      <c r="G31" s="20" t="n">
        <v>50.6667</v>
      </c>
    </row>
    <row r="32">
      <c r="A32" s="10" t="inlineStr">
        <is>
          <t>Platform Team 6</t>
        </is>
      </c>
      <c r="B32" s="10" t="inlineStr">
        <is>
          <t>Mete Han Karacüllü</t>
        </is>
      </c>
      <c r="C32" s="10" t="inlineStr">
        <is>
          <t>PT6-1670</t>
        </is>
      </c>
      <c r="D32" s="10" t="inlineStr">
        <is>
          <t xml:space="preserve">PT6-1670 Multi region </t>
        </is>
      </c>
      <c r="E32" s="10" t="inlineStr">
        <is>
          <t>PT6-1850</t>
        </is>
      </c>
      <c r="F32" s="10" t="inlineStr">
        <is>
          <t>Create new apigee endpoint in traefik only fo</t>
        </is>
      </c>
      <c r="G32" s="20" t="n">
        <v>9.333299999999999</v>
      </c>
    </row>
    <row r="33">
      <c r="A33" s="10" t="inlineStr">
        <is>
          <t>Platform Team 6</t>
        </is>
      </c>
      <c r="B33" s="10" t="inlineStr">
        <is>
          <t>Rafay Khan</t>
        </is>
      </c>
      <c r="C33" s="10" t="inlineStr">
        <is>
          <t>PT6-1670</t>
        </is>
      </c>
      <c r="D33" s="10" t="inlineStr">
        <is>
          <t xml:space="preserve">PT6-1670 Multi region </t>
        </is>
      </c>
      <c r="E33" s="10" t="inlineStr">
        <is>
          <t>PT6-1817</t>
        </is>
      </c>
      <c r="F33" s="10" t="inlineStr">
        <is>
          <t>Enable ssm replication lambda</t>
        </is>
      </c>
      <c r="G33" s="20" t="n">
        <v>25.6</v>
      </c>
    </row>
    <row r="34">
      <c r="A34" s="10" t="inlineStr">
        <is>
          <t>Platform Team 6</t>
        </is>
      </c>
      <c r="B34" s="10" t="inlineStr">
        <is>
          <t>Rafay Khan</t>
        </is>
      </c>
      <c r="C34" s="10" t="inlineStr">
        <is>
          <t>PT6-1670</t>
        </is>
      </c>
      <c r="D34" s="10" t="inlineStr">
        <is>
          <t xml:space="preserve">PT6-1670 Multi region </t>
        </is>
      </c>
      <c r="E34" s="10" t="inlineStr">
        <is>
          <t>PT6-1818</t>
        </is>
      </c>
      <c r="F34" s="10" t="inlineStr">
        <is>
          <t>Copy SM to second region</t>
        </is>
      </c>
      <c r="G34" s="20" t="n">
        <v>15.3333</v>
      </c>
    </row>
    <row r="35">
      <c r="A35" s="10" t="inlineStr">
        <is>
          <t>Platform Team 6</t>
        </is>
      </c>
      <c r="B35" s="10" t="inlineStr">
        <is>
          <t>Rafay Khan</t>
        </is>
      </c>
      <c r="C35" s="10" t="inlineStr">
        <is>
          <t>PT6-1670</t>
        </is>
      </c>
      <c r="D35" s="10" t="inlineStr">
        <is>
          <t xml:space="preserve">PT6-1670 Multi region </t>
        </is>
      </c>
      <c r="E35" s="10" t="inlineStr">
        <is>
          <t>PT6-1863</t>
        </is>
      </c>
      <c r="F35" s="10" t="inlineStr">
        <is>
          <t>Copy and sync SM for traefik outbound</t>
        </is>
      </c>
      <c r="G35" s="20" t="n">
        <v>1.6</v>
      </c>
    </row>
    <row r="36">
      <c r="A36" s="10" t="inlineStr">
        <is>
          <t>Team Horizon</t>
        </is>
      </c>
      <c r="B36" s="10" t="inlineStr">
        <is>
          <t>Adorjan Fritz</t>
        </is>
      </c>
      <c r="C36" s="10" t="inlineStr">
        <is>
          <t>SUK-5466</t>
        </is>
      </c>
      <c r="D36" s="10" t="inlineStr">
        <is>
          <t>SUK-5466 VOP Outbound Adaptor</t>
        </is>
      </c>
      <c r="E36" s="10" t="inlineStr">
        <is>
          <t>SUK-5694</t>
        </is>
      </c>
      <c r="F36" s="10" t="inlineStr">
        <is>
          <t>[VOP-Outbound] Set up Performance Testing</t>
        </is>
      </c>
      <c r="G36" s="20" t="n">
        <v>18.6667</v>
      </c>
    </row>
    <row r="37">
      <c r="A37" s="10" t="inlineStr">
        <is>
          <t>Team Horizon</t>
        </is>
      </c>
      <c r="B37" s="10" t="inlineStr">
        <is>
          <t>Adorjan Fritz</t>
        </is>
      </c>
      <c r="C37" s="10" t="inlineStr">
        <is>
          <t>SUK-5578</t>
        </is>
      </c>
      <c r="D37" s="10" t="inlineStr">
        <is>
          <t xml:space="preserve">SUK-5578 VOP Inbound Adaptor </t>
        </is>
      </c>
      <c r="E37" s="10" t="inlineStr">
        <is>
          <t>SUK-5626</t>
        </is>
      </c>
      <c r="F37" s="10" t="inlineStr">
        <is>
          <t>[Inbound Adaptor]Implement audit cluster logg</t>
        </is>
      </c>
      <c r="G37" s="20" t="n">
        <v>54.6667</v>
      </c>
    </row>
    <row r="38">
      <c r="A38" s="10" t="inlineStr">
        <is>
          <t>Team Horizon</t>
        </is>
      </c>
      <c r="B38" s="10" t="inlineStr">
        <is>
          <t>Adorjan Fritz</t>
        </is>
      </c>
      <c r="C38" s="10" t="inlineStr">
        <is>
          <t>SUK-5578</t>
        </is>
      </c>
      <c r="D38" s="10" t="inlineStr">
        <is>
          <t xml:space="preserve">SUK-5578 VOP Inbound Adaptor </t>
        </is>
      </c>
      <c r="E38" s="10" t="inlineStr">
        <is>
          <t>SUK-5669</t>
        </is>
      </c>
      <c r="F38" s="10" t="inlineStr">
        <is>
          <t>[Inbound Adaptor] Add exception logic for COI</t>
        </is>
      </c>
      <c r="G38" s="20" t="n">
        <v>8</v>
      </c>
    </row>
    <row r="39">
      <c r="A39" s="10" t="inlineStr">
        <is>
          <t>Team Horizon</t>
        </is>
      </c>
      <c r="B39" s="10" t="inlineStr">
        <is>
          <t>Adorjan Fritz</t>
        </is>
      </c>
      <c r="C39" s="10" t="inlineStr">
        <is>
          <t>SUK-5756</t>
        </is>
      </c>
      <c r="D39" s="10" t="inlineStr">
        <is>
          <t>SUK-5756 Audit data – Mask credit card numbers</t>
        </is>
      </c>
      <c r="E39" s="10" t="inlineStr">
        <is>
          <t>SUK-5760</t>
        </is>
      </c>
      <c r="F39" s="10" t="inlineStr">
        <is>
          <t>VOP Inbound Adapter – Mask credit card number</t>
        </is>
      </c>
      <c r="G39" s="20" t="n">
        <v>28.6667</v>
      </c>
    </row>
    <row r="40">
      <c r="A40" s="10" t="inlineStr">
        <is>
          <t>Team Horizon</t>
        </is>
      </c>
      <c r="B40" s="10" t="inlineStr">
        <is>
          <t>Adorjan Fritz</t>
        </is>
      </c>
      <c r="C40" s="10" t="inlineStr">
        <is>
          <t>SUK-5756</t>
        </is>
      </c>
      <c r="D40" s="10" t="inlineStr">
        <is>
          <t>SUK-5756 Audit data – Mask credit card numbers</t>
        </is>
      </c>
      <c r="E40" s="10" t="inlineStr">
        <is>
          <t>SUK-5761</t>
        </is>
      </c>
      <c r="F40" s="10" t="inlineStr">
        <is>
          <t>VOP Outbound Adapter - Mask credit card numbe</t>
        </is>
      </c>
      <c r="G40" s="20" t="n">
        <v>12.6667</v>
      </c>
    </row>
    <row r="41">
      <c r="A41" s="10" t="inlineStr">
        <is>
          <t>Team Horizon</t>
        </is>
      </c>
      <c r="B41" s="10" t="inlineStr">
        <is>
          <t>Adorjan Fritz</t>
        </is>
      </c>
      <c r="C41" s="10" t="inlineStr">
        <is>
          <t>SUK-5787</t>
        </is>
      </c>
      <c r="D41" s="10" t="inlineStr">
        <is>
          <t>SUK-5787 NEW: Support for BIC8</t>
        </is>
      </c>
      <c r="E41" s="10" t="inlineStr">
        <is>
          <t>SUK-5789</t>
        </is>
      </c>
      <c r="F41" s="10" t="inlineStr">
        <is>
          <t>VOP Inbound Adapter : Convert BIC8 to BIC11 f</t>
        </is>
      </c>
      <c r="G41" s="20" t="n">
        <v>12</v>
      </c>
    </row>
    <row r="42">
      <c r="A42" s="10" t="inlineStr">
        <is>
          <t>Team Horizon</t>
        </is>
      </c>
      <c r="B42" s="10" t="inlineStr">
        <is>
          <t>Adorjan Fritz</t>
        </is>
      </c>
      <c r="C42" s="10" t="inlineStr">
        <is>
          <t>SUK-5790</t>
        </is>
      </c>
      <c r="D42" s="10" t="inlineStr">
        <is>
          <t>SUK-5790 VOP Improvements  - 2025</t>
        </is>
      </c>
      <c r="E42" s="10" t="inlineStr">
        <is>
          <t>SUK-5741</t>
        </is>
      </c>
      <c r="F42" s="10" t="inlineStr">
        <is>
          <t>[VOP Inbound] Add health check or failsafe me</t>
        </is>
      </c>
      <c r="G42" s="20" t="n">
        <v>16.6667</v>
      </c>
    </row>
    <row r="43">
      <c r="A43" s="10" t="inlineStr">
        <is>
          <t>Team Horizon</t>
        </is>
      </c>
      <c r="B43" s="10" t="inlineStr">
        <is>
          <t>Adorjan Fritz</t>
        </is>
      </c>
      <c r="C43" s="10" t="inlineStr">
        <is>
          <t>SUK-5790</t>
        </is>
      </c>
      <c r="D43" s="10" t="inlineStr">
        <is>
          <t>SUK-5790 VOP Improvements  - 2025</t>
        </is>
      </c>
      <c r="E43" s="10" t="inlineStr">
        <is>
          <t>SUK-5750</t>
        </is>
      </c>
      <c r="F43" s="10" t="inlineStr">
        <is>
          <t>[vop-outbound/ inbound-adapter] Add Elastic A</t>
        </is>
      </c>
      <c r="G43" s="20" t="n">
        <v>2</v>
      </c>
    </row>
    <row r="44">
      <c r="A44" s="10" t="inlineStr">
        <is>
          <t>Team Horizon</t>
        </is>
      </c>
      <c r="B44" s="10" t="inlineStr">
        <is>
          <t>Ryan Shepherd</t>
        </is>
      </c>
      <c r="C44" s="10" t="inlineStr">
        <is>
          <t>SUK-5466</t>
        </is>
      </c>
      <c r="D44" s="10" t="inlineStr">
        <is>
          <t>SUK-5466 VOP Outbound Adaptor</t>
        </is>
      </c>
      <c r="E44" s="10" t="inlineStr">
        <is>
          <t>SUK-5703</t>
        </is>
      </c>
      <c r="F44" s="10" t="inlineStr">
        <is>
          <t>[ACC-EU] [PRD-EU] Release VOP Outbound Adapto</t>
        </is>
      </c>
      <c r="G44" s="20" t="n">
        <v>27.6</v>
      </c>
    </row>
    <row r="45">
      <c r="A45" s="10" t="inlineStr">
        <is>
          <t>Team Horizon</t>
        </is>
      </c>
      <c r="B45" s="10" t="inlineStr">
        <is>
          <t>Ryan Shepherd</t>
        </is>
      </c>
      <c r="C45" s="10" t="inlineStr">
        <is>
          <t>SUK-5466</t>
        </is>
      </c>
      <c r="D45" s="10" t="inlineStr">
        <is>
          <t>SUK-5466 VOP Outbound Adaptor</t>
        </is>
      </c>
      <c r="E45" s="10" t="inlineStr">
        <is>
          <t>SUK-5792</t>
        </is>
      </c>
      <c r="F45" s="10" t="inlineStr">
        <is>
          <t>[VOP Outbound Adapter] SecretRefreshService n</t>
        </is>
      </c>
      <c r="G45" s="20" t="n">
        <v>22.6667</v>
      </c>
    </row>
    <row r="46">
      <c r="A46" s="10" t="inlineStr">
        <is>
          <t>Team Horizon</t>
        </is>
      </c>
      <c r="B46" s="10" t="inlineStr">
        <is>
          <t>Ryan Shepherd</t>
        </is>
      </c>
      <c r="C46" s="10" t="inlineStr">
        <is>
          <t>SUK-5466</t>
        </is>
      </c>
      <c r="D46" s="10" t="inlineStr">
        <is>
          <t>SUK-5466 VOP Outbound Adaptor</t>
        </is>
      </c>
      <c r="E46" s="10" t="inlineStr">
        <is>
          <t>SUK-5745</t>
        </is>
      </c>
      <c r="F46" s="10" t="inlineStr">
        <is>
          <t>[vop-outbound-adapter] Proxy configuration sh</t>
        </is>
      </c>
      <c r="G46" s="20" t="n">
        <v>5.6</v>
      </c>
    </row>
    <row r="47">
      <c r="A47" s="10" t="inlineStr">
        <is>
          <t>Team Horizon</t>
        </is>
      </c>
      <c r="B47" s="10" t="inlineStr">
        <is>
          <t>Ryan Shepherd</t>
        </is>
      </c>
      <c r="C47" s="10" t="inlineStr">
        <is>
          <t>SUK-5578</t>
        </is>
      </c>
      <c r="D47" s="10" t="inlineStr">
        <is>
          <t xml:space="preserve">SUK-5578 VOP Inbound Adaptor </t>
        </is>
      </c>
      <c r="E47" s="10" t="inlineStr">
        <is>
          <t>SUK-5691</t>
        </is>
      </c>
      <c r="F47" s="10" t="inlineStr">
        <is>
          <t xml:space="preserve">[VOP-Inbound]Security Review - Dev &amp; Infra </t>
        </is>
      </c>
      <c r="G47" s="20" t="n">
        <v>26.2667</v>
      </c>
    </row>
    <row r="48">
      <c r="A48" s="10" t="inlineStr">
        <is>
          <t>Team Horizon</t>
        </is>
      </c>
      <c r="B48" s="10" t="inlineStr">
        <is>
          <t>Ryan Shepherd</t>
        </is>
      </c>
      <c r="C48" s="10" t="inlineStr">
        <is>
          <t>SUK-5578</t>
        </is>
      </c>
      <c r="D48" s="10" t="inlineStr">
        <is>
          <t xml:space="preserve">SUK-5578 VOP Inbound Adaptor </t>
        </is>
      </c>
      <c r="E48" s="10" t="inlineStr">
        <is>
          <t>SUK-5776</t>
        </is>
      </c>
      <c r="F48" s="10" t="inlineStr">
        <is>
          <t>[VOP-Inbound] Use tenant info from routing on</t>
        </is>
      </c>
      <c r="G48" s="20" t="n">
        <v>20</v>
      </c>
    </row>
    <row r="49">
      <c r="A49" s="10" t="inlineStr">
        <is>
          <t>Team Horizon</t>
        </is>
      </c>
      <c r="B49" s="10" t="inlineStr">
        <is>
          <t>Ryan Shepherd</t>
        </is>
      </c>
      <c r="C49" s="10" t="inlineStr">
        <is>
          <t>SUK-5578</t>
        </is>
      </c>
      <c r="D49" s="10" t="inlineStr">
        <is>
          <t xml:space="preserve">SUK-5578 VOP Inbound Adaptor </t>
        </is>
      </c>
      <c r="E49" s="10" t="inlineStr">
        <is>
          <t>SUK-5742</t>
        </is>
      </c>
      <c r="F49" s="10" t="inlineStr">
        <is>
          <t>Truncate org api name suggestions &gt;140 charac</t>
        </is>
      </c>
      <c r="G49" s="20" t="n">
        <v>11.6</v>
      </c>
    </row>
    <row r="50">
      <c r="A50" s="10" t="inlineStr">
        <is>
          <t>Team Horizon</t>
        </is>
      </c>
      <c r="B50" s="10" t="inlineStr">
        <is>
          <t>Ryan Shepherd</t>
        </is>
      </c>
      <c r="C50" s="10" t="inlineStr">
        <is>
          <t>SUK-5578</t>
        </is>
      </c>
      <c r="D50" s="10" t="inlineStr">
        <is>
          <t xml:space="preserve">SUK-5578 VOP Inbound Adaptor </t>
        </is>
      </c>
      <c r="E50" s="10" t="inlineStr">
        <is>
          <t>SUK-5735</t>
        </is>
      </c>
      <c r="F50" s="10" t="inlineStr">
        <is>
          <t>[Inbound Adaptor] maximum clock drift configu</t>
        </is>
      </c>
      <c r="G50" s="20" t="n">
        <v>6.6667</v>
      </c>
    </row>
    <row r="51">
      <c r="A51" s="10" t="inlineStr">
        <is>
          <t>Team Horizon</t>
        </is>
      </c>
      <c r="B51" s="10" t="inlineStr">
        <is>
          <t>Ryan Shepherd</t>
        </is>
      </c>
      <c r="C51" s="10" t="inlineStr">
        <is>
          <t>SUK-5578</t>
        </is>
      </c>
      <c r="D51" s="10" t="inlineStr">
        <is>
          <t xml:space="preserve">SUK-5578 VOP Inbound Adaptor </t>
        </is>
      </c>
      <c r="E51" s="10" t="inlineStr">
        <is>
          <t>SUK-5718</t>
        </is>
      </c>
      <c r="F51" s="10" t="inlineStr">
        <is>
          <t>[VOP-Inbound] Update the logic to extract the</t>
        </is>
      </c>
      <c r="G51" s="20" t="n">
        <v>4</v>
      </c>
    </row>
    <row r="52">
      <c r="A52" s="10" t="inlineStr">
        <is>
          <t>Team Horizon</t>
        </is>
      </c>
      <c r="B52" s="10" t="inlineStr">
        <is>
          <t>Ryan Shepherd</t>
        </is>
      </c>
      <c r="C52" s="10" t="inlineStr">
        <is>
          <t>SUK-5578</t>
        </is>
      </c>
      <c r="D52" s="10" t="inlineStr">
        <is>
          <t xml:space="preserve">SUK-5578 VOP Inbound Adaptor </t>
        </is>
      </c>
      <c r="E52" s="10" t="inlineStr">
        <is>
          <t>SUK-5722</t>
        </is>
      </c>
      <c r="F52" s="10" t="inlineStr">
        <is>
          <t>[VOP-Inbound]Suppress the fields with null va</t>
        </is>
      </c>
      <c r="G52" s="20" t="n">
        <v>4</v>
      </c>
    </row>
    <row r="53">
      <c r="A53" s="10" t="inlineStr">
        <is>
          <t>Team Horizon</t>
        </is>
      </c>
      <c r="B53" s="10" t="inlineStr">
        <is>
          <t>Ryan Shepherd</t>
        </is>
      </c>
      <c r="C53" s="10" t="inlineStr">
        <is>
          <t>SUK-5578</t>
        </is>
      </c>
      <c r="D53" s="10" t="inlineStr">
        <is>
          <t xml:space="preserve">SUK-5578 VOP Inbound Adaptor </t>
        </is>
      </c>
      <c r="E53" s="10" t="inlineStr">
        <is>
          <t>SUK-5771</t>
        </is>
      </c>
      <c r="F53" s="10" t="inlineStr">
        <is>
          <t>[VOP-Inbound] Update Routing Only bic table t</t>
        </is>
      </c>
      <c r="G53" s="20" t="n">
        <v>4</v>
      </c>
    </row>
    <row r="54">
      <c r="A54" s="10" t="inlineStr">
        <is>
          <t>Team Horizon</t>
        </is>
      </c>
      <c r="B54" s="10" t="inlineStr">
        <is>
          <t>Ryan Shepherd</t>
        </is>
      </c>
      <c r="C54" s="10" t="inlineStr">
        <is>
          <t>SUK-5578</t>
        </is>
      </c>
      <c r="D54" s="10" t="inlineStr">
        <is>
          <t xml:space="preserve">SUK-5578 VOP Inbound Adaptor </t>
        </is>
      </c>
      <c r="E54" s="10" t="inlineStr">
        <is>
          <t>SUK-5744</t>
        </is>
      </c>
      <c r="F54" s="10" t="inlineStr">
        <is>
          <t>[VOP-Inbound-adapter] Add ACC specific applic</t>
        </is>
      </c>
      <c r="G54" s="20" t="n">
        <v>3.6</v>
      </c>
    </row>
    <row r="55">
      <c r="A55" s="10" t="inlineStr">
        <is>
          <t>Team Horizon</t>
        </is>
      </c>
      <c r="B55" s="10" t="inlineStr">
        <is>
          <t>Ryan Shepherd</t>
        </is>
      </c>
      <c r="C55" s="10" t="inlineStr">
        <is>
          <t>SUK-5790</t>
        </is>
      </c>
      <c r="D55" s="10" t="inlineStr">
        <is>
          <t>SUK-5790 VOP Improvements  - 2025</t>
        </is>
      </c>
      <c r="E55" s="10" t="inlineStr">
        <is>
          <t>SUK-5783</t>
        </is>
      </c>
      <c r="F55" s="10" t="inlineStr">
        <is>
          <t xml:space="preserve">[VOP Inbound] easy-config wrongly logs 'null </t>
        </is>
      </c>
      <c r="G55" s="20" t="n">
        <v>10.6667</v>
      </c>
    </row>
    <row r="56">
      <c r="A56" s="10" t="inlineStr">
        <is>
          <t>Team Horizon</t>
        </is>
      </c>
      <c r="B56" s="10" t="inlineStr">
        <is>
          <t>Arpit Dahiya</t>
        </is>
      </c>
      <c r="C56" s="10" t="inlineStr">
        <is>
          <t>SUK-5578</t>
        </is>
      </c>
      <c r="D56" s="10" t="inlineStr">
        <is>
          <t xml:space="preserve">SUK-5578 VOP Inbound Adaptor </t>
        </is>
      </c>
      <c r="E56" s="10" t="inlineStr">
        <is>
          <t>SUK-5732</t>
        </is>
      </c>
      <c r="F56" s="10" t="inlineStr">
        <is>
          <t>[VOP-Inbound] Set up Performance Testing</t>
        </is>
      </c>
      <c r="G56" s="20" t="n">
        <v>60</v>
      </c>
    </row>
    <row r="57">
      <c r="A57" s="10" t="inlineStr">
        <is>
          <t>Team Horizon</t>
        </is>
      </c>
      <c r="B57" s="10" t="inlineStr">
        <is>
          <t>Arpit Dahiya</t>
        </is>
      </c>
      <c r="C57" s="10" t="inlineStr">
        <is>
          <t>SUK-5578</t>
        </is>
      </c>
      <c r="D57" s="10" t="inlineStr">
        <is>
          <t xml:space="preserve">SUK-5578 VOP Inbound Adaptor </t>
        </is>
      </c>
      <c r="E57" s="10" t="inlineStr">
        <is>
          <t>SUK-5616</t>
        </is>
      </c>
      <c r="F57" s="10" t="inlineStr">
        <is>
          <t>[Inbound Adaptor]Implement business rules</t>
        </is>
      </c>
      <c r="G57" s="20" t="n">
        <v>6.6667</v>
      </c>
    </row>
    <row r="58">
      <c r="A58" s="10" t="inlineStr">
        <is>
          <t>Team Horizon</t>
        </is>
      </c>
      <c r="B58" s="10" t="inlineStr">
        <is>
          <t>Arpit Dahiya</t>
        </is>
      </c>
      <c r="C58" s="10" t="inlineStr">
        <is>
          <t>SUK-5578</t>
        </is>
      </c>
      <c r="D58" s="10" t="inlineStr">
        <is>
          <t xml:space="preserve">SUK-5578 VOP Inbound Adaptor </t>
        </is>
      </c>
      <c r="E58" s="10" t="inlineStr">
        <is>
          <t>SUK-5625</t>
        </is>
      </c>
      <c r="F58" s="10" t="inlineStr">
        <is>
          <t>[Inbound Adaptor]Implement cloud watch loggin</t>
        </is>
      </c>
      <c r="G58" s="20" t="n">
        <v>6.6667</v>
      </c>
    </row>
    <row r="59">
      <c r="A59" s="10" t="inlineStr">
        <is>
          <t>Team Horizon</t>
        </is>
      </c>
      <c r="B59" s="10" t="inlineStr">
        <is>
          <t>Arpit Dahiya</t>
        </is>
      </c>
      <c r="C59" s="10" t="inlineStr">
        <is>
          <t>SUK-5578</t>
        </is>
      </c>
      <c r="D59" s="10" t="inlineStr">
        <is>
          <t xml:space="preserve">SUK-5578 VOP Inbound Adaptor </t>
        </is>
      </c>
      <c r="E59" s="10" t="inlineStr">
        <is>
          <t>SUK-5669</t>
        </is>
      </c>
      <c r="F59" s="10" t="inlineStr">
        <is>
          <t>[Inbound Adaptor] Add exception logic for COI</t>
        </is>
      </c>
      <c r="G59" s="20" t="n">
        <v>2.6667</v>
      </c>
    </row>
    <row r="60">
      <c r="A60" s="10" t="inlineStr">
        <is>
          <t>Team Horizon</t>
        </is>
      </c>
      <c r="B60" s="10" t="inlineStr">
        <is>
          <t>Arpit Dahiya</t>
        </is>
      </c>
      <c r="C60" s="10" t="inlineStr">
        <is>
          <t>SUK-5790</t>
        </is>
      </c>
      <c r="D60" s="10" t="inlineStr">
        <is>
          <t>SUK-5790 VOP Improvements  - 2025</t>
        </is>
      </c>
      <c r="E60" s="10" t="inlineStr">
        <is>
          <t>SUK-5710</t>
        </is>
      </c>
      <c r="F60" s="10" t="inlineStr">
        <is>
          <t>Implement version info endpoint for our apps</t>
        </is>
      </c>
      <c r="G60" s="20" t="n">
        <v>16</v>
      </c>
    </row>
    <row r="61">
      <c r="A61" s="10" t="inlineStr">
        <is>
          <t>Team Horizon</t>
        </is>
      </c>
      <c r="B61" s="10" t="inlineStr">
        <is>
          <t>Arpit Dahiya</t>
        </is>
      </c>
      <c r="C61" s="10" t="inlineStr">
        <is>
          <t>SUK-5790</t>
        </is>
      </c>
      <c r="D61" s="10" t="inlineStr">
        <is>
          <t>SUK-5790 VOP Improvements  - 2025</t>
        </is>
      </c>
      <c r="E61" s="10" t="inlineStr">
        <is>
          <t>SUK-5793</t>
        </is>
      </c>
      <c r="F61" s="10" t="inlineStr">
        <is>
          <t>[vop-outbound-adapter] INFO level logging cle</t>
        </is>
      </c>
      <c r="G61" s="20" t="n">
        <v>12</v>
      </c>
    </row>
    <row r="62">
      <c r="A62" s="10" t="inlineStr">
        <is>
          <t>Team Horizon</t>
        </is>
      </c>
      <c r="B62" s="10" t="inlineStr">
        <is>
          <t>Julian Mulder</t>
        </is>
      </c>
      <c r="C62" s="10" t="inlineStr">
        <is>
          <t>SUK-5466</t>
        </is>
      </c>
      <c r="D62" s="10" t="inlineStr">
        <is>
          <t>SUK-5466 VOP Outbound Adaptor</t>
        </is>
      </c>
      <c r="E62" s="10" t="inlineStr">
        <is>
          <t>SUK-5770</t>
        </is>
      </c>
      <c r="F62" s="10" t="inlineStr">
        <is>
          <t>[PRD-EU] Whitelist all the base urls from Pro</t>
        </is>
      </c>
      <c r="G62" s="20" t="n">
        <v>2.6667</v>
      </c>
    </row>
    <row r="63">
      <c r="A63" s="10" t="inlineStr">
        <is>
          <t>Team Horizon</t>
        </is>
      </c>
      <c r="B63" s="10" t="inlineStr">
        <is>
          <t>Julian Mulder</t>
        </is>
      </c>
      <c r="C63" s="10" t="inlineStr">
        <is>
          <t>SUK-5578</t>
        </is>
      </c>
      <c r="D63" s="10" t="inlineStr">
        <is>
          <t xml:space="preserve">SUK-5578 VOP Inbound Adaptor </t>
        </is>
      </c>
      <c r="E63" s="10" t="inlineStr">
        <is>
          <t>SUK-5641</t>
        </is>
      </c>
      <c r="F63" s="10" t="inlineStr">
        <is>
          <t>[Inbound adaptor] Set up Trafiek to route tra</t>
        </is>
      </c>
      <c r="G63" s="20" t="n">
        <v>35.3333</v>
      </c>
    </row>
    <row r="64">
      <c r="A64" s="10" t="inlineStr">
        <is>
          <t>Team Horizon</t>
        </is>
      </c>
      <c r="B64" s="10" t="inlineStr">
        <is>
          <t>Julian Mulder</t>
        </is>
      </c>
      <c r="C64" s="10" t="inlineStr">
        <is>
          <t>SUK-5578</t>
        </is>
      </c>
      <c r="D64" s="10" t="inlineStr">
        <is>
          <t xml:space="preserve">SUK-5578 VOP Inbound Adaptor </t>
        </is>
      </c>
      <c r="E64" s="10" t="inlineStr">
        <is>
          <t>SUK-5791</t>
        </is>
      </c>
      <c r="F64" s="10" t="inlineStr">
        <is>
          <t>[VOP-Inbound] Trusting CAs from eidas link fo</t>
        </is>
      </c>
      <c r="G64" s="20" t="n">
        <v>20</v>
      </c>
    </row>
    <row r="65">
      <c r="A65" s="10" t="inlineStr">
        <is>
          <t>Team Horizon</t>
        </is>
      </c>
      <c r="B65" s="10" t="inlineStr">
        <is>
          <t>Julian Mulder</t>
        </is>
      </c>
      <c r="C65" s="10" t="inlineStr">
        <is>
          <t>SUK-5578</t>
        </is>
      </c>
      <c r="D65" s="10" t="inlineStr">
        <is>
          <t xml:space="preserve">SUK-5578 VOP Inbound Adaptor </t>
        </is>
      </c>
      <c r="E65" s="10" t="inlineStr">
        <is>
          <t>SUK-5737</t>
        </is>
      </c>
      <c r="F65" s="10" t="inlineStr">
        <is>
          <t>[EDS-Directory] Update the eds lambda to trig</t>
        </is>
      </c>
      <c r="G65" s="20" t="n">
        <v>14</v>
      </c>
    </row>
    <row r="66">
      <c r="A66" s="10" t="inlineStr">
        <is>
          <t>Team Horizon</t>
        </is>
      </c>
      <c r="B66" s="10" t="inlineStr">
        <is>
          <t>Julian Mulder</t>
        </is>
      </c>
      <c r="C66" s="10" t="inlineStr">
        <is>
          <t>SUK-5578</t>
        </is>
      </c>
      <c r="D66" s="10" t="inlineStr">
        <is>
          <t xml:space="preserve">SUK-5578 VOP Inbound Adaptor </t>
        </is>
      </c>
      <c r="E66" s="10" t="inlineStr">
        <is>
          <t>SUK-5629</t>
        </is>
      </c>
      <c r="F66" s="10" t="inlineStr">
        <is>
          <t>[Inbound Adaptor] Infra setup for vop audit c</t>
        </is>
      </c>
      <c r="G66" s="20" t="n">
        <v>8</v>
      </c>
    </row>
    <row r="67">
      <c r="A67" s="10" t="inlineStr">
        <is>
          <t>Team Horizon</t>
        </is>
      </c>
      <c r="B67" s="10" t="inlineStr">
        <is>
          <t>Julian Mulder</t>
        </is>
      </c>
      <c r="C67" s="10" t="inlineStr">
        <is>
          <t>SUK-5790</t>
        </is>
      </c>
      <c r="D67" s="10" t="inlineStr">
        <is>
          <t>SUK-5790 VOP Improvements  - 2025</t>
        </is>
      </c>
      <c r="E67" s="10" t="inlineStr">
        <is>
          <t>SUK-5780</t>
        </is>
      </c>
      <c r="F67" s="10" t="inlineStr">
        <is>
          <t>[VOP-Outbound] Create new ssm param and let e</t>
        </is>
      </c>
      <c r="G67" s="20" t="n">
        <v>22.6667</v>
      </c>
    </row>
    <row r="68">
      <c r="A68" s="10" t="inlineStr">
        <is>
          <t>Team Horizon</t>
        </is>
      </c>
      <c r="B68" s="10" t="inlineStr">
        <is>
          <t>Péter Veres</t>
        </is>
      </c>
      <c r="C68" s="10" t="inlineStr">
        <is>
          <t>SUK-5578</t>
        </is>
      </c>
      <c r="D68" s="10" t="inlineStr">
        <is>
          <t xml:space="preserve">SUK-5578 VOP Inbound Adaptor </t>
        </is>
      </c>
      <c r="E68" s="10" t="inlineStr">
        <is>
          <t>SUK-5682</t>
        </is>
      </c>
      <c r="F68" s="10" t="inlineStr">
        <is>
          <t>[Inbound Adaptor] Create Integration test sui</t>
        </is>
      </c>
      <c r="G68" s="20" t="n">
        <v>24</v>
      </c>
    </row>
    <row r="69">
      <c r="A69" s="10" t="inlineStr">
        <is>
          <t>Team Horizon</t>
        </is>
      </c>
      <c r="B69" s="10" t="inlineStr">
        <is>
          <t>Péter Veres</t>
        </is>
      </c>
      <c r="C69" s="10" t="inlineStr">
        <is>
          <t>SUK-5787</t>
        </is>
      </c>
      <c r="D69" s="10" t="inlineStr">
        <is>
          <t>SUK-5787 NEW: Support for BIC8</t>
        </is>
      </c>
      <c r="E69" s="10" t="inlineStr">
        <is>
          <t>SUK-5788</t>
        </is>
      </c>
      <c r="F69" s="10" t="inlineStr">
        <is>
          <t xml:space="preserve">VOP Outbound Adapter : Convert BIC8 to BIC11 </t>
        </is>
      </c>
      <c r="G69" s="20" t="n">
        <v>32</v>
      </c>
    </row>
    <row r="70">
      <c r="A70" s="10" t="inlineStr">
        <is>
          <t>Team Horizon</t>
        </is>
      </c>
      <c r="B70" s="10" t="inlineStr">
        <is>
          <t>Sanjay Chaudhary</t>
        </is>
      </c>
      <c r="C70" s="10" t="inlineStr">
        <is>
          <t>SUK-5466</t>
        </is>
      </c>
      <c r="D70" s="10" t="inlineStr">
        <is>
          <t>SUK-5466 VOP Outbound Adaptor</t>
        </is>
      </c>
      <c r="E70" s="10" t="inlineStr">
        <is>
          <t>SUK-5740</t>
        </is>
      </c>
      <c r="F70" s="10" t="inlineStr">
        <is>
          <t>update qwac csr lambda kms policy</t>
        </is>
      </c>
      <c r="G70" s="20" t="n">
        <v>5.7451</v>
      </c>
    </row>
    <row r="71">
      <c r="A71" s="10" t="inlineStr">
        <is>
          <t>Team Horizon</t>
        </is>
      </c>
      <c r="B71" s="10" t="inlineStr">
        <is>
          <t>Sanjay Chaudhary</t>
        </is>
      </c>
      <c r="C71" s="10" t="inlineStr">
        <is>
          <t>SUK-5466</t>
        </is>
      </c>
      <c r="D71" s="10" t="inlineStr">
        <is>
          <t>SUK-5466 VOP Outbound Adaptor</t>
        </is>
      </c>
      <c r="E71" s="10" t="inlineStr">
        <is>
          <t>SUK-5699</t>
        </is>
      </c>
      <c r="F71" s="10" t="inlineStr">
        <is>
          <t>Implement autoscaling for outbound adapter</t>
        </is>
      </c>
      <c r="G71" s="20" t="n">
        <v>2.8982</v>
      </c>
    </row>
    <row r="72">
      <c r="A72" s="10" t="inlineStr">
        <is>
          <t>Team Horizon</t>
        </is>
      </c>
      <c r="B72" s="10" t="inlineStr">
        <is>
          <t>Sanjay Chaudhary</t>
        </is>
      </c>
      <c r="C72" s="10" t="inlineStr">
        <is>
          <t>SUK-5466</t>
        </is>
      </c>
      <c r="D72" s="10" t="inlineStr">
        <is>
          <t>SUK-5466 VOP Outbound Adaptor</t>
        </is>
      </c>
      <c r="E72" s="10" t="inlineStr">
        <is>
          <t>SUK-5743</t>
        </is>
      </c>
      <c r="F72" s="10" t="inlineStr">
        <is>
          <t>[VOP-Perf Test] Setup performance test for vo</t>
        </is>
      </c>
      <c r="G72" s="20" t="n">
        <v>1.958</v>
      </c>
    </row>
    <row r="73">
      <c r="A73" s="10" t="inlineStr">
        <is>
          <t>Team Horizon</t>
        </is>
      </c>
      <c r="B73" s="10" t="inlineStr">
        <is>
          <t>Sanjay Chaudhary</t>
        </is>
      </c>
      <c r="C73" s="10" t="inlineStr">
        <is>
          <t>SUK-5466</t>
        </is>
      </c>
      <c r="D73" s="10" t="inlineStr">
        <is>
          <t>SUK-5466 VOP Outbound Adaptor</t>
        </is>
      </c>
      <c r="E73" s="10" t="inlineStr">
        <is>
          <t>SUK-5739</t>
        </is>
      </c>
      <c r="F73" s="10" t="inlineStr">
        <is>
          <t>Whitelist updated country list in waf for vop</t>
        </is>
      </c>
      <c r="G73" s="20" t="n">
        <v>1.8974</v>
      </c>
    </row>
    <row r="74">
      <c r="A74" s="10" t="inlineStr">
        <is>
          <t>Team Horizon</t>
        </is>
      </c>
      <c r="B74" s="10" t="inlineStr">
        <is>
          <t>Sanjay Chaudhary</t>
        </is>
      </c>
      <c r="C74" s="10" t="inlineStr">
        <is>
          <t>SUK-5466</t>
        </is>
      </c>
      <c r="D74" s="10" t="inlineStr">
        <is>
          <t>SUK-5466 VOP Outbound Adaptor</t>
        </is>
      </c>
      <c r="E74" s="10" t="inlineStr">
        <is>
          <t>SUK-5703</t>
        </is>
      </c>
      <c r="F74" s="10" t="inlineStr">
        <is>
          <t>[ACC-EU] [PRD-EU] Release VOP Outbound Adapto</t>
        </is>
      </c>
      <c r="G74" s="20" t="n">
        <v>1.6162</v>
      </c>
    </row>
    <row r="75">
      <c r="A75" s="10" t="inlineStr">
        <is>
          <t>Team Horizon</t>
        </is>
      </c>
      <c r="B75" s="10" t="inlineStr">
        <is>
          <t>Sanjay Chaudhary</t>
        </is>
      </c>
      <c r="C75" s="10" t="inlineStr">
        <is>
          <t>SUK-5466</t>
        </is>
      </c>
      <c r="D75" s="10" t="inlineStr">
        <is>
          <t>SUK-5466 VOP Outbound Adaptor</t>
        </is>
      </c>
      <c r="E75" s="10" t="inlineStr">
        <is>
          <t>SUK-5749</t>
        </is>
      </c>
      <c r="F75" s="10" t="inlineStr">
        <is>
          <t>Fix a bug in ASG setting on ACC &amp; TST for vop</t>
        </is>
      </c>
      <c r="G75" s="20" t="n">
        <v>0.6153999999999999</v>
      </c>
    </row>
    <row r="76">
      <c r="A76" s="10" t="inlineStr">
        <is>
          <t>Team Horizon</t>
        </is>
      </c>
      <c r="B76" s="10" t="inlineStr">
        <is>
          <t>Sanjay Chaudhary</t>
        </is>
      </c>
      <c r="C76" s="10" t="inlineStr">
        <is>
          <t>SUK-5578</t>
        </is>
      </c>
      <c r="D76" s="10" t="inlineStr">
        <is>
          <t xml:space="preserve">SUK-5578 VOP Inbound Adaptor </t>
        </is>
      </c>
      <c r="E76" s="10" t="inlineStr">
        <is>
          <t>SUK-5704</t>
        </is>
      </c>
      <c r="F76" s="10" t="inlineStr">
        <is>
          <t>[ACC-EU] [PRD-EU] Release VOP Inbound Adaptor</t>
        </is>
      </c>
      <c r="G76" s="20" t="n">
        <v>9.850199999999999</v>
      </c>
    </row>
    <row r="77">
      <c r="A77" s="10" t="inlineStr">
        <is>
          <t>Team Horizon</t>
        </is>
      </c>
      <c r="B77" s="10" t="inlineStr">
        <is>
          <t>Sanjay Chaudhary</t>
        </is>
      </c>
      <c r="C77" s="10" t="inlineStr">
        <is>
          <t>SUK-5578</t>
        </is>
      </c>
      <c r="D77" s="10" t="inlineStr">
        <is>
          <t xml:space="preserve">SUK-5578 VOP Inbound Adaptor </t>
        </is>
      </c>
      <c r="E77" s="10" t="inlineStr">
        <is>
          <t>SUK-5612</t>
        </is>
      </c>
      <c r="F77" s="10" t="inlineStr">
        <is>
          <t>[Inbound Adaptor]Set up of trafiek</t>
        </is>
      </c>
      <c r="G77" s="20" t="n">
        <v>3.3556</v>
      </c>
    </row>
    <row r="78">
      <c r="A78" s="10" t="inlineStr">
        <is>
          <t>Team Horizon</t>
        </is>
      </c>
      <c r="B78" s="10" t="inlineStr">
        <is>
          <t>Sanjay Chaudhary</t>
        </is>
      </c>
      <c r="C78" s="10" t="inlineStr">
        <is>
          <t>SUK-5578</t>
        </is>
      </c>
      <c r="D78" s="10" t="inlineStr">
        <is>
          <t xml:space="preserve">SUK-5578 VOP Inbound Adaptor </t>
        </is>
      </c>
      <c r="E78" s="10" t="inlineStr">
        <is>
          <t>SUK-5771</t>
        </is>
      </c>
      <c r="F78" s="10" t="inlineStr">
        <is>
          <t>[VOP-Inbound] Update Routing Only bic table t</t>
        </is>
      </c>
      <c r="G78" s="20" t="n">
        <v>2.3273</v>
      </c>
    </row>
    <row r="79">
      <c r="A79" s="10" t="inlineStr">
        <is>
          <t>Team Horizon</t>
        </is>
      </c>
      <c r="B79" s="10" t="inlineStr">
        <is>
          <t>Sanjay Chaudhary</t>
        </is>
      </c>
      <c r="C79" s="10" t="inlineStr">
        <is>
          <t>SUK-5578</t>
        </is>
      </c>
      <c r="D79" s="10" t="inlineStr">
        <is>
          <t xml:space="preserve">SUK-5578 VOP Inbound Adaptor </t>
        </is>
      </c>
      <c r="E79" s="10" t="inlineStr">
        <is>
          <t>SUK-5609</t>
        </is>
      </c>
      <c r="F79" s="10" t="inlineStr">
        <is>
          <t>[Inbound adaptor] Create EV server cert for p</t>
        </is>
      </c>
      <c r="G79" s="20" t="n">
        <v>1.4667</v>
      </c>
    </row>
    <row r="80">
      <c r="A80" s="10" t="inlineStr">
        <is>
          <t>Team Horizon</t>
        </is>
      </c>
      <c r="B80" s="10" t="inlineStr">
        <is>
          <t>Sanjay Chaudhary</t>
        </is>
      </c>
      <c r="C80" s="10" t="inlineStr">
        <is>
          <t>SUK-5578</t>
        </is>
      </c>
      <c r="D80" s="10" t="inlineStr">
        <is>
          <t xml:space="preserve">SUK-5578 VOP Inbound Adaptor </t>
        </is>
      </c>
      <c r="E80" s="10" t="inlineStr">
        <is>
          <t>SUK-5629</t>
        </is>
      </c>
      <c r="F80" s="10" t="inlineStr">
        <is>
          <t>[Inbound Adaptor] Infra setup for vop audit c</t>
        </is>
      </c>
      <c r="G80" s="20" t="n">
        <v>1.4667</v>
      </c>
    </row>
    <row r="81">
      <c r="A81" s="10" t="inlineStr">
        <is>
          <t>Team Horizon</t>
        </is>
      </c>
      <c r="B81" s="10" t="inlineStr">
        <is>
          <t>Sanjay Chaudhary</t>
        </is>
      </c>
      <c r="C81" s="10" t="inlineStr">
        <is>
          <t>SUK-5578</t>
        </is>
      </c>
      <c r="D81" s="10" t="inlineStr">
        <is>
          <t xml:space="preserve">SUK-5578 VOP Inbound Adaptor </t>
        </is>
      </c>
      <c r="E81" s="10" t="inlineStr">
        <is>
          <t>SUK-5748</t>
        </is>
      </c>
      <c r="F81" s="10" t="inlineStr">
        <is>
          <t>ACC: Disable the whitelisting for vop inbound</t>
        </is>
      </c>
      <c r="G81" s="20" t="n">
        <v>1.2308</v>
      </c>
    </row>
    <row r="82">
      <c r="A82" s="10" t="inlineStr">
        <is>
          <t>Team Horizon</t>
        </is>
      </c>
      <c r="B82" s="10" t="inlineStr">
        <is>
          <t>Sanjay Chaudhary</t>
        </is>
      </c>
      <c r="C82" s="10" t="inlineStr">
        <is>
          <t>SUK-5578</t>
        </is>
      </c>
      <c r="D82" s="10" t="inlineStr">
        <is>
          <t xml:space="preserve">SUK-5578 VOP Inbound Adaptor </t>
        </is>
      </c>
      <c r="E82" s="10" t="inlineStr">
        <is>
          <t>SUK-5713</t>
        </is>
      </c>
      <c r="F82" s="10" t="inlineStr">
        <is>
          <t>add missing aws permission for vop inbound fl</t>
        </is>
      </c>
      <c r="G82" s="20" t="n">
        <v>0.6667</v>
      </c>
    </row>
    <row r="83">
      <c r="A83" s="10" t="inlineStr">
        <is>
          <t>Team Horizon</t>
        </is>
      </c>
      <c r="B83" s="10" t="inlineStr">
        <is>
          <t>Sanjay Chaudhary</t>
        </is>
      </c>
      <c r="C83" s="10" t="inlineStr">
        <is>
          <t>SUK-5578</t>
        </is>
      </c>
      <c r="D83" s="10" t="inlineStr">
        <is>
          <t xml:space="preserve">SUK-5578 VOP Inbound Adaptor </t>
        </is>
      </c>
      <c r="E83" s="10" t="inlineStr">
        <is>
          <t>SUK-5731</t>
        </is>
      </c>
      <c r="F83" s="10" t="inlineStr">
        <is>
          <t>Implement autoscaling for inbound adapter</t>
        </is>
      </c>
      <c r="G83" s="20" t="n">
        <v>0.6153999999999999</v>
      </c>
    </row>
    <row r="84">
      <c r="A84" s="10" t="inlineStr">
        <is>
          <t>Team Horizon</t>
        </is>
      </c>
      <c r="B84" s="10" t="inlineStr">
        <is>
          <t>Sanjay Chaudhary</t>
        </is>
      </c>
      <c r="C84" s="10" t="inlineStr">
        <is>
          <t>SUK-5790</t>
        </is>
      </c>
      <c r="D84" s="10" t="inlineStr">
        <is>
          <t>SUK-5790 VOP Improvements  - 2025</t>
        </is>
      </c>
      <c r="E84" s="10" t="inlineStr">
        <is>
          <t>SUK-5754</t>
        </is>
      </c>
      <c r="F84" s="10" t="inlineStr">
        <is>
          <t>[VOP-Inbound] Update network architecture dia</t>
        </is>
      </c>
      <c r="G84" s="20" t="n">
        <v>4.3556</v>
      </c>
    </row>
    <row r="85">
      <c r="A85" s="10" t="inlineStr">
        <is>
          <t>Team Horizon</t>
        </is>
      </c>
      <c r="B85" s="10" t="inlineStr">
        <is>
          <t>Sanjay Chaudhary</t>
        </is>
      </c>
      <c r="C85" s="10" t="inlineStr">
        <is>
          <t>SUK-5790</t>
        </is>
      </c>
      <c r="D85" s="10" t="inlineStr">
        <is>
          <t>SUK-5790 VOP Improvements  - 2025</t>
        </is>
      </c>
      <c r="E85" s="10" t="inlineStr">
        <is>
          <t>SUK-5755</t>
        </is>
      </c>
      <c r="F85" s="10" t="inlineStr">
        <is>
          <t>VOP Outbound Adapter : Update network archite</t>
        </is>
      </c>
      <c r="G85" s="20" t="n">
        <v>3.4667</v>
      </c>
    </row>
    <row r="86">
      <c r="A86" s="10" t="inlineStr">
        <is>
          <t>Team Horizon</t>
        </is>
      </c>
      <c r="B86" s="10" t="inlineStr">
        <is>
          <t>Prabhukiran Narava</t>
        </is>
      </c>
      <c r="C86" s="10" t="inlineStr">
        <is>
          <t>SUK-5466</t>
        </is>
      </c>
      <c r="D86" s="10" t="inlineStr">
        <is>
          <t>SUK-5466 VOP Outbound Adaptor</t>
        </is>
      </c>
      <c r="E86" s="10" t="inlineStr">
        <is>
          <t>SUK-5693</t>
        </is>
      </c>
      <c r="F86" s="10" t="inlineStr">
        <is>
          <t>[ACC-UK] Peer 2 Peer Testing for Outbound</t>
        </is>
      </c>
      <c r="G86" s="20" t="n">
        <v>20</v>
      </c>
    </row>
    <row r="87">
      <c r="A87" s="10" t="inlineStr">
        <is>
          <t>Team Horizon</t>
        </is>
      </c>
      <c r="B87" s="10" t="inlineStr">
        <is>
          <t>Prabhukiran Narava</t>
        </is>
      </c>
      <c r="C87" s="10" t="inlineStr">
        <is>
          <t>SUK-5466</t>
        </is>
      </c>
      <c r="D87" s="10" t="inlineStr">
        <is>
          <t>SUK-5466 VOP Outbound Adaptor</t>
        </is>
      </c>
      <c r="E87" s="10" t="inlineStr">
        <is>
          <t>SUK-5694</t>
        </is>
      </c>
      <c r="F87" s="10" t="inlineStr">
        <is>
          <t>[VOP-Outbound] Set up Performance Testing</t>
        </is>
      </c>
      <c r="G87" s="20" t="n">
        <v>13</v>
      </c>
    </row>
    <row r="88">
      <c r="A88" s="10" t="inlineStr">
        <is>
          <t>Team Horizon</t>
        </is>
      </c>
      <c r="B88" s="10" t="inlineStr">
        <is>
          <t>Prabhukiran Narava</t>
        </is>
      </c>
      <c r="C88" s="10" t="inlineStr">
        <is>
          <t>SUK-5756</t>
        </is>
      </c>
      <c r="D88" s="10" t="inlineStr">
        <is>
          <t>SUK-5756 Audit data – Mask credit card numbers</t>
        </is>
      </c>
      <c r="E88" s="10" t="inlineStr">
        <is>
          <t>SUK-5760</t>
        </is>
      </c>
      <c r="F88" s="10" t="inlineStr">
        <is>
          <t>VOP Inbound Adapter – Mask credit card number</t>
        </is>
      </c>
      <c r="G88" s="20" t="n">
        <v>4</v>
      </c>
    </row>
    <row r="89">
      <c r="A89" s="10" t="inlineStr">
        <is>
          <t>Team Horizon</t>
        </is>
      </c>
      <c r="B89" s="10" t="inlineStr">
        <is>
          <t>Prabhukiran Narava</t>
        </is>
      </c>
      <c r="C89" s="10" t="inlineStr">
        <is>
          <t>SUK-5756</t>
        </is>
      </c>
      <c r="D89" s="10" t="inlineStr">
        <is>
          <t>SUK-5756 Audit data – Mask credit card numbers</t>
        </is>
      </c>
      <c r="E89" s="10" t="inlineStr">
        <is>
          <t>SUK-5761</t>
        </is>
      </c>
      <c r="F89" s="10" t="inlineStr">
        <is>
          <t>VOP Outbound Adapter - Mask credit card numbe</t>
        </is>
      </c>
      <c r="G89" s="20" t="n">
        <v>4</v>
      </c>
    </row>
    <row r="90">
      <c r="A90" s="10" t="inlineStr">
        <is>
          <t>Team Ikigai</t>
        </is>
      </c>
      <c r="B90" s="10" t="inlineStr">
        <is>
          <t>borys.rudenko</t>
        </is>
      </c>
      <c r="C90" s="10" t="inlineStr">
        <is>
          <t>SDO-7745</t>
        </is>
      </c>
      <c r="D90" s="10" t="inlineStr">
        <is>
          <t>SDO-7745 UnstructuredRemittanceInformation</t>
        </is>
      </c>
      <c r="E90" s="10" t="inlineStr">
        <is>
          <t>SPD-3311</t>
        </is>
      </c>
      <c r="F90" s="10" t="inlineStr">
        <is>
          <t xml:space="preserve">Get URI solution to PRD </t>
        </is>
      </c>
      <c r="G90" s="20" t="n">
        <v>48</v>
      </c>
    </row>
    <row r="91">
      <c r="A91" s="10" t="inlineStr">
        <is>
          <t>Team Ikigai</t>
        </is>
      </c>
      <c r="B91" s="10" t="inlineStr">
        <is>
          <t>borys.rudenko</t>
        </is>
      </c>
      <c r="C91" s="10" t="inlineStr">
        <is>
          <t>SPD-2834</t>
        </is>
      </c>
      <c r="D91" s="10" t="inlineStr">
        <is>
          <t>SPD-2834 VoP Data Hosting Iteration 2</t>
        </is>
      </c>
      <c r="E91" s="10" t="inlineStr">
        <is>
          <t>SPD-3182</t>
        </is>
      </c>
      <c r="F91" s="10" t="inlineStr">
        <is>
          <t>Implement solution UnstructuredRemittance for</t>
        </is>
      </c>
      <c r="G91" s="20" t="n">
        <v>77.33329999999999</v>
      </c>
    </row>
    <row r="92">
      <c r="A92" s="10" t="inlineStr">
        <is>
          <t>Team Ikigai</t>
        </is>
      </c>
      <c r="B92" s="10" t="inlineStr">
        <is>
          <t>borys.rudenko</t>
        </is>
      </c>
      <c r="C92" s="10" t="inlineStr">
        <is>
          <t>SPD-2834</t>
        </is>
      </c>
      <c r="D92" s="10" t="inlineStr">
        <is>
          <t>SPD-2834 VoP Data Hosting Iteration 2</t>
        </is>
      </c>
      <c r="E92" s="10" t="inlineStr">
        <is>
          <t>SPD-3216</t>
        </is>
      </c>
      <c r="F92" s="10" t="inlineStr">
        <is>
          <t>Implement feature toggle/switcher</t>
        </is>
      </c>
      <c r="G92" s="20" t="n">
        <v>21.3333</v>
      </c>
    </row>
    <row r="93">
      <c r="A93" s="10" t="inlineStr">
        <is>
          <t>Team Ikigai</t>
        </is>
      </c>
      <c r="B93" s="10" t="inlineStr">
        <is>
          <t>borys.rudenko</t>
        </is>
      </c>
      <c r="C93" s="10" t="inlineStr">
        <is>
          <t>SPD-2834</t>
        </is>
      </c>
      <c r="D93" s="10" t="inlineStr">
        <is>
          <t>SPD-2834 VoP Data Hosting Iteration 2</t>
        </is>
      </c>
      <c r="E93" s="10" t="inlineStr">
        <is>
          <t>SPD-3217</t>
        </is>
      </c>
      <c r="F93" s="10" t="inlineStr">
        <is>
          <t>Implement the search in unstructuredRemittanc</t>
        </is>
      </c>
      <c r="G93" s="20" t="n">
        <v>21.3333</v>
      </c>
    </row>
    <row r="94">
      <c r="A94" s="10" t="inlineStr">
        <is>
          <t>Team Ikigai</t>
        </is>
      </c>
      <c r="B94" s="10" t="inlineStr">
        <is>
          <t>borys.rudenko</t>
        </is>
      </c>
      <c r="C94" s="10" t="inlineStr">
        <is>
          <t>SPD-2834</t>
        </is>
      </c>
      <c r="D94" s="10" t="inlineStr">
        <is>
          <t>SPD-2834 VoP Data Hosting Iteration 2</t>
        </is>
      </c>
      <c r="E94" s="10" t="inlineStr">
        <is>
          <t>SPD-3267</t>
        </is>
      </c>
      <c r="F94" s="10" t="inlineStr">
        <is>
          <t xml:space="preserve">Discuss release strategy of API and Ingestor </t>
        </is>
      </c>
      <c r="G94" s="20" t="n">
        <v>16</v>
      </c>
    </row>
    <row r="95">
      <c r="A95" s="10" t="inlineStr">
        <is>
          <t>Team Ikigai</t>
        </is>
      </c>
      <c r="B95" s="10" t="inlineStr">
        <is>
          <t>Diego Silva</t>
        </is>
      </c>
      <c r="C95" s="10" t="inlineStr">
        <is>
          <t>SPD-2716</t>
        </is>
      </c>
      <c r="D95" s="10" t="inlineStr">
        <is>
          <t>SPD-2716 VoP Data Hosting Interation 1</t>
        </is>
      </c>
      <c r="E95" s="10" t="inlineStr">
        <is>
          <t>SPD-3269</t>
        </is>
      </c>
      <c r="F95" s="10" t="inlineStr">
        <is>
          <t xml:space="preserve">Replication Stack deployment </t>
        </is>
      </c>
      <c r="G95" s="20" t="n">
        <v>48</v>
      </c>
    </row>
    <row r="96">
      <c r="A96" s="10" t="inlineStr">
        <is>
          <t>Team Ikigai</t>
        </is>
      </c>
      <c r="B96" s="10" t="inlineStr">
        <is>
          <t>Diego Silva</t>
        </is>
      </c>
      <c r="C96" s="10" t="inlineStr">
        <is>
          <t>SPD-2749</t>
        </is>
      </c>
      <c r="D96" s="10" t="inlineStr">
        <is>
          <t>SPD-2749 VoP Data Hosting Ingester v1</t>
        </is>
      </c>
      <c r="E96" s="10" t="inlineStr">
        <is>
          <t>SPD-2828</t>
        </is>
      </c>
      <c r="F96" s="10" t="inlineStr">
        <is>
          <t xml:space="preserve">ECS Cluster Documentation </t>
        </is>
      </c>
      <c r="G96" s="20" t="n">
        <v>128</v>
      </c>
    </row>
    <row r="97">
      <c r="A97" s="10" t="inlineStr">
        <is>
          <t>Team Ikigai</t>
        </is>
      </c>
      <c r="B97" s="10" t="inlineStr">
        <is>
          <t>Sridhar Gnanasekaran</t>
        </is>
      </c>
      <c r="C97" s="10" t="inlineStr">
        <is>
          <t>SPD-2834</t>
        </is>
      </c>
      <c r="D97" s="10" t="inlineStr">
        <is>
          <t>SPD-2834 VoP Data Hosting Iteration 2</t>
        </is>
      </c>
      <c r="E97" s="10" t="inlineStr">
        <is>
          <t>SPD-3158</t>
        </is>
      </c>
      <c r="F97" s="10" t="inlineStr">
        <is>
          <t>Performance test UnstructuredRemittanceInform</t>
        </is>
      </c>
      <c r="G97" s="20" t="n">
        <v>176</v>
      </c>
    </row>
    <row r="98">
      <c r="A98" s="10" t="inlineStr">
        <is>
          <t>Team Ikigai</t>
        </is>
      </c>
      <c r="B98" s="10" t="inlineStr">
        <is>
          <t>Juanma Tastzian</t>
        </is>
      </c>
      <c r="C98" s="10" t="inlineStr">
        <is>
          <t>SPD-2834</t>
        </is>
      </c>
      <c r="D98" s="10" t="inlineStr">
        <is>
          <t>SPD-2834 VoP Data Hosting Iteration 2</t>
        </is>
      </c>
      <c r="E98" s="10" t="inlineStr">
        <is>
          <t>SPD-3181</t>
        </is>
      </c>
      <c r="F98" s="10" t="inlineStr">
        <is>
          <t>Implement solution UnstructuredRemittance for</t>
        </is>
      </c>
      <c r="G98" s="20" t="n">
        <v>86.66670000000001</v>
      </c>
    </row>
    <row r="99">
      <c r="A99" s="10" t="inlineStr">
        <is>
          <t>Team Ikigai</t>
        </is>
      </c>
      <c r="B99" s="10" t="inlineStr">
        <is>
          <t>Juanma Tastzian</t>
        </is>
      </c>
      <c r="C99" s="10" t="inlineStr">
        <is>
          <t>SPD-2834</t>
        </is>
      </c>
      <c r="D99" s="10" t="inlineStr">
        <is>
          <t>SPD-2834 VoP Data Hosting Iteration 2</t>
        </is>
      </c>
      <c r="E99" s="10" t="inlineStr">
        <is>
          <t>SPD-3266</t>
        </is>
      </c>
      <c r="F99" s="10" t="inlineStr">
        <is>
          <t xml:space="preserve">Update validations on ingestion to match new </t>
        </is>
      </c>
      <c r="G99" s="20" t="n">
        <v>52</v>
      </c>
    </row>
    <row r="100">
      <c r="A100" s="10" t="inlineStr">
        <is>
          <t>Team Ikigai</t>
        </is>
      </c>
      <c r="B100" s="10" t="inlineStr">
        <is>
          <t>Juanma Tastzian</t>
        </is>
      </c>
      <c r="C100" s="10" t="inlineStr">
        <is>
          <t>SPD-3094</t>
        </is>
      </c>
      <c r="D100" s="10" t="inlineStr">
        <is>
          <t>SPD-3094 VoP Algorithm IPR Ready</t>
        </is>
      </c>
      <c r="E100" s="10" t="inlineStr">
        <is>
          <t>SPD-3288</t>
        </is>
      </c>
      <c r="F100" s="10" t="inlineStr">
        <is>
          <t>Impact analysis on adding rules only for Bank</t>
        </is>
      </c>
      <c r="G100" s="20" t="n">
        <v>16</v>
      </c>
    </row>
    <row r="101">
      <c r="A101" s="10" t="inlineStr">
        <is>
          <t>Team Ikigai</t>
        </is>
      </c>
      <c r="B101" s="10" t="inlineStr">
        <is>
          <t>Gerard Veldman</t>
        </is>
      </c>
      <c r="C101" s="10" t="inlineStr">
        <is>
          <t>SPD-3012</t>
        </is>
      </c>
      <c r="D101" s="10" t="inlineStr">
        <is>
          <t>SPD-3012 VoP Bulk Checker Iteration 2</t>
        </is>
      </c>
      <c r="E101" s="10" t="inlineStr">
        <is>
          <t>SPD-3201</t>
        </is>
      </c>
      <c r="F101" s="10" t="inlineStr">
        <is>
          <t>Handle empty CSV / XML file the same way as N</t>
        </is>
      </c>
      <c r="G101" s="20" t="n">
        <v>20.4</v>
      </c>
    </row>
    <row r="102">
      <c r="A102" s="10" t="inlineStr">
        <is>
          <t>Team Ikigai</t>
        </is>
      </c>
      <c r="B102" s="10" t="inlineStr">
        <is>
          <t>Gerard Veldman</t>
        </is>
      </c>
      <c r="C102" s="10" t="inlineStr">
        <is>
          <t>SPD-3012</t>
        </is>
      </c>
      <c r="D102" s="10" t="inlineStr">
        <is>
          <t>SPD-3012 VoP Bulk Checker Iteration 2</t>
        </is>
      </c>
      <c r="E102" s="10" t="inlineStr">
        <is>
          <t>SPD-3282</t>
        </is>
      </c>
      <c r="F102" s="10" t="inlineStr">
        <is>
          <t>Support VoP Plus for CSV and Excel formats</t>
        </is>
      </c>
      <c r="G102" s="20" t="n">
        <v>20.4</v>
      </c>
    </row>
    <row r="103">
      <c r="A103" s="10" t="inlineStr">
        <is>
          <t>Team Ikigai</t>
        </is>
      </c>
      <c r="B103" s="10" t="inlineStr">
        <is>
          <t>Gerard Veldman</t>
        </is>
      </c>
      <c r="C103" s="10" t="inlineStr">
        <is>
          <t>SPD-3012</t>
        </is>
      </c>
      <c r="D103" s="10" t="inlineStr">
        <is>
          <t>SPD-3012 VoP Bulk Checker Iteration 2</t>
        </is>
      </c>
      <c r="E103" s="10" t="inlineStr">
        <is>
          <t>SPD-3301</t>
        </is>
      </c>
      <c r="F103" s="10" t="inlineStr">
        <is>
          <t>CSV file format improvements Must haves</t>
        </is>
      </c>
      <c r="G103" s="20" t="n">
        <v>16.4</v>
      </c>
    </row>
    <row r="104">
      <c r="A104" s="10" t="inlineStr">
        <is>
          <t>Team Ikigai</t>
        </is>
      </c>
      <c r="B104" s="10" t="inlineStr">
        <is>
          <t>Gerard Veldman</t>
        </is>
      </c>
      <c r="C104" s="10" t="inlineStr">
        <is>
          <t>SPD-3236</t>
        </is>
      </c>
      <c r="D104" s="10" t="inlineStr">
        <is>
          <t>SPD-3236 VoP Bulk Checker performance improvement</t>
        </is>
      </c>
      <c r="E104" s="10" t="inlineStr">
        <is>
          <t>SPD-3256</t>
        </is>
      </c>
      <c r="F104" s="10" t="inlineStr">
        <is>
          <t>Support rate limiting</t>
        </is>
      </c>
      <c r="G104" s="20" t="n">
        <v>46.4</v>
      </c>
    </row>
    <row r="105">
      <c r="A105" s="10" t="inlineStr">
        <is>
          <t>Team Ikigai</t>
        </is>
      </c>
      <c r="B105" s="10" t="inlineStr">
        <is>
          <t>Gerard Veldman</t>
        </is>
      </c>
      <c r="C105" s="10" t="inlineStr">
        <is>
          <t>SPD-3236</t>
        </is>
      </c>
      <c r="D105" s="10" t="inlineStr">
        <is>
          <t>SPD-3236 VoP Bulk Checker performance improvement</t>
        </is>
      </c>
      <c r="E105" s="10" t="inlineStr">
        <is>
          <t>SPD-3254</t>
        </is>
      </c>
      <c r="F105" s="10" t="inlineStr">
        <is>
          <t>Change the Bulk Checker into a reactive app</t>
        </is>
      </c>
      <c r="G105" s="20" t="n">
        <v>15.3333</v>
      </c>
    </row>
    <row r="106">
      <c r="A106" s="10" t="inlineStr">
        <is>
          <t>Team Ikigai</t>
        </is>
      </c>
      <c r="B106" s="10" t="inlineStr">
        <is>
          <t>Gerard Veldman</t>
        </is>
      </c>
      <c r="C106" s="10" t="inlineStr">
        <is>
          <t>SPD-3236</t>
        </is>
      </c>
      <c r="D106" s="10" t="inlineStr">
        <is>
          <t>SPD-3236 VoP Bulk Checker performance improvement</t>
        </is>
      </c>
      <c r="E106" s="10" t="inlineStr">
        <is>
          <t>SPD-3255</t>
        </is>
      </c>
      <c r="F106" s="10" t="inlineStr">
        <is>
          <t>Support multiple files in parallel</t>
        </is>
      </c>
      <c r="G106" s="20" t="n">
        <v>15.3333</v>
      </c>
    </row>
    <row r="107">
      <c r="A107" s="10" t="inlineStr">
        <is>
          <t>Team Ikigai</t>
        </is>
      </c>
      <c r="B107" s="10" t="inlineStr">
        <is>
          <t>Manali Shah</t>
        </is>
      </c>
      <c r="C107" s="10" t="inlineStr">
        <is>
          <t>SPD-2834</t>
        </is>
      </c>
      <c r="D107" s="10" t="inlineStr">
        <is>
          <t>SPD-2834 VoP Data Hosting Iteration 2</t>
        </is>
      </c>
      <c r="E107" s="10" t="inlineStr">
        <is>
          <t>SPD-3248</t>
        </is>
      </c>
      <c r="F107" s="10" t="inlineStr">
        <is>
          <t>Limit commercialNames to 140 characters</t>
        </is>
      </c>
      <c r="G107" s="20" t="n">
        <v>62.9333</v>
      </c>
    </row>
    <row r="108">
      <c r="A108" s="10" t="inlineStr">
        <is>
          <t>Team Ikigai</t>
        </is>
      </c>
      <c r="B108" s="10" t="inlineStr">
        <is>
          <t>Manali Shah</t>
        </is>
      </c>
      <c r="C108" s="10" t="inlineStr">
        <is>
          <t>SPD-3094</t>
        </is>
      </c>
      <c r="D108" s="10" t="inlineStr">
        <is>
          <t>SPD-3094 VoP Algorithm IPR Ready</t>
        </is>
      </c>
      <c r="E108" s="10" t="inlineStr">
        <is>
          <t>SPD-3294</t>
        </is>
      </c>
      <c r="F108" s="10" t="inlineStr">
        <is>
          <t>A028 Initials + Last Name considered a no mat</t>
        </is>
      </c>
      <c r="G108" s="20" t="n">
        <v>24</v>
      </c>
    </row>
    <row r="109">
      <c r="A109" s="10" t="inlineStr">
        <is>
          <t>Team Ikigai</t>
        </is>
      </c>
      <c r="B109" s="10" t="inlineStr">
        <is>
          <t>Manali Shah</t>
        </is>
      </c>
      <c r="C109" s="10" t="inlineStr">
        <is>
          <t>SPD-3094</t>
        </is>
      </c>
      <c r="D109" s="10" t="inlineStr">
        <is>
          <t>SPD-3094 VoP Algorithm IPR Ready</t>
        </is>
      </c>
      <c r="E109" s="10" t="inlineStr">
        <is>
          <t>SPD-3258</t>
        </is>
      </c>
      <c r="F109" s="10" t="inlineStr">
        <is>
          <t>A025 Double Surname</t>
        </is>
      </c>
      <c r="G109" s="20" t="n">
        <v>18.9333</v>
      </c>
    </row>
    <row r="110">
      <c r="A110" s="10" t="inlineStr">
        <is>
          <t>Team Ikigai</t>
        </is>
      </c>
      <c r="B110" s="10" t="inlineStr">
        <is>
          <t>Manali Shah</t>
        </is>
      </c>
      <c r="C110" s="10" t="inlineStr">
        <is>
          <t>SPD-3094</t>
        </is>
      </c>
      <c r="D110" s="10" t="inlineStr">
        <is>
          <t>SPD-3094 VoP Algorithm IPR Ready</t>
        </is>
      </c>
      <c r="E110" s="10" t="inlineStr">
        <is>
          <t>SPD-3259</t>
        </is>
      </c>
      <c r="F110" s="10" t="inlineStr">
        <is>
          <t>A018 Joint accounts: matching on last name on</t>
        </is>
      </c>
      <c r="G110" s="20" t="n">
        <v>17.3333</v>
      </c>
    </row>
    <row r="111">
      <c r="A111" s="10" t="inlineStr">
        <is>
          <t>Team Ikigai</t>
        </is>
      </c>
      <c r="B111" s="10" t="inlineStr">
        <is>
          <t>Manali Shah</t>
        </is>
      </c>
      <c r="C111" s="10" t="inlineStr">
        <is>
          <t>SPD-3094</t>
        </is>
      </c>
      <c r="D111" s="10" t="inlineStr">
        <is>
          <t>SPD-3094 VoP Algorithm IPR Ready</t>
        </is>
      </c>
      <c r="E111" s="10" t="inlineStr">
        <is>
          <t>SPD-3129</t>
        </is>
      </c>
      <c r="F111" s="10" t="inlineStr">
        <is>
          <t>A017 Investigate the behaviour of the use wit</t>
        </is>
      </c>
      <c r="G111" s="20" t="n">
        <v>9.333299999999999</v>
      </c>
    </row>
    <row r="112">
      <c r="A112" s="10" t="inlineStr">
        <is>
          <t>Team Ikigai</t>
        </is>
      </c>
      <c r="B112" s="10" t="inlineStr">
        <is>
          <t>Keerthi Shankar</t>
        </is>
      </c>
      <c r="C112" s="10" t="inlineStr">
        <is>
          <t>SPD-2716</t>
        </is>
      </c>
      <c r="D112" s="10" t="inlineStr">
        <is>
          <t>SPD-2716 VoP Data Hosting Interation 1</t>
        </is>
      </c>
      <c r="E112" s="10" t="inlineStr">
        <is>
          <t>SPD-3269</t>
        </is>
      </c>
      <c r="F112" s="10" t="inlineStr">
        <is>
          <t xml:space="preserve">Replication Stack deployment </t>
        </is>
      </c>
      <c r="G112" s="20" t="n">
        <v>8</v>
      </c>
    </row>
    <row r="113">
      <c r="A113" s="10" t="inlineStr">
        <is>
          <t>Team Ikigai</t>
        </is>
      </c>
      <c r="B113" s="10" t="inlineStr">
        <is>
          <t>Keerthi Shankar</t>
        </is>
      </c>
      <c r="C113" s="10" t="inlineStr">
        <is>
          <t>SPD-2834</t>
        </is>
      </c>
      <c r="D113" s="10" t="inlineStr">
        <is>
          <t>SPD-2834 VoP Data Hosting Iteration 2</t>
        </is>
      </c>
      <c r="E113" s="10" t="inlineStr">
        <is>
          <t>SPD-3178</t>
        </is>
      </c>
      <c r="F113" s="10" t="inlineStr">
        <is>
          <t>Fix build pipeline issue with parallel builds</t>
        </is>
      </c>
      <c r="G113" s="20" t="n">
        <v>8</v>
      </c>
    </row>
    <row r="114">
      <c r="A114" s="10" t="inlineStr">
        <is>
          <t>Team Ikigai</t>
        </is>
      </c>
      <c r="B114" s="10" t="inlineStr">
        <is>
          <t>Keerthi Shankar</t>
        </is>
      </c>
      <c r="C114" s="10" t="inlineStr">
        <is>
          <t>SPD-2834</t>
        </is>
      </c>
      <c r="D114" s="10" t="inlineStr">
        <is>
          <t>SPD-2834 VoP Data Hosting Iteration 2</t>
        </is>
      </c>
      <c r="E114" s="10" t="inlineStr">
        <is>
          <t>SPD-3237</t>
        </is>
      </c>
      <c r="F114" s="10" t="inlineStr">
        <is>
          <t xml:space="preserve">Adjust VoP Data Hosting audit log connection </t>
        </is>
      </c>
      <c r="G114" s="20" t="n">
        <v>6.6667</v>
      </c>
    </row>
    <row r="115">
      <c r="A115" s="10" t="inlineStr">
        <is>
          <t>Team Ikigai</t>
        </is>
      </c>
      <c r="B115" s="10" t="inlineStr">
        <is>
          <t>Keerthi Shankar</t>
        </is>
      </c>
      <c r="C115" s="10" t="inlineStr">
        <is>
          <t>SPD-2834</t>
        </is>
      </c>
      <c r="D115" s="10" t="inlineStr">
        <is>
          <t>SPD-2834 VoP Data Hosting Iteration 2</t>
        </is>
      </c>
      <c r="E115" s="10" t="inlineStr">
        <is>
          <t>SPD-3273</t>
        </is>
      </c>
      <c r="F115" s="10" t="inlineStr">
        <is>
          <t>Add validation in onboarding pipeline to reje</t>
        </is>
      </c>
      <c r="G115" s="20" t="n">
        <v>4</v>
      </c>
    </row>
    <row r="116">
      <c r="A116" s="10" t="inlineStr">
        <is>
          <t>Team Ikigai</t>
        </is>
      </c>
      <c r="B116" s="10" t="inlineStr">
        <is>
          <t>Keerthi Shankar</t>
        </is>
      </c>
      <c r="C116" s="10" t="inlineStr">
        <is>
          <t>SPD-3012</t>
        </is>
      </c>
      <c r="D116" s="10" t="inlineStr">
        <is>
          <t>SPD-3012 VoP Bulk Checker Iteration 2</t>
        </is>
      </c>
      <c r="E116" s="10" t="inlineStr">
        <is>
          <t>SPD-3285</t>
        </is>
      </c>
      <c r="F116" s="10" t="inlineStr">
        <is>
          <t>Migrate dynamodb tables to Global tables</t>
        </is>
      </c>
      <c r="G116" s="20" t="n">
        <v>56</v>
      </c>
    </row>
    <row r="117">
      <c r="A117" s="10" t="inlineStr">
        <is>
          <t>Team Ikigai</t>
        </is>
      </c>
      <c r="B117" s="10" t="inlineStr">
        <is>
          <t>Keerthi Shankar</t>
        </is>
      </c>
      <c r="C117" s="10" t="inlineStr">
        <is>
          <t>SPD-3012</t>
        </is>
      </c>
      <c r="D117" s="10" t="inlineStr">
        <is>
          <t>SPD-3012 VoP Bulk Checker Iteration 2</t>
        </is>
      </c>
      <c r="E117" s="10" t="inlineStr">
        <is>
          <t>SPD-3321</t>
        </is>
      </c>
      <c r="F117" s="10" t="inlineStr">
        <is>
          <t>Create alarms for the ndjson queue types</t>
        </is>
      </c>
      <c r="G117" s="20" t="n">
        <v>8</v>
      </c>
    </row>
    <row r="118">
      <c r="A118" s="10" t="inlineStr">
        <is>
          <t>Team Ikigai</t>
        </is>
      </c>
      <c r="B118" s="10" t="inlineStr">
        <is>
          <t>Keerthi Shankar</t>
        </is>
      </c>
      <c r="C118" s="10" t="inlineStr">
        <is>
          <t>SPD-3012</t>
        </is>
      </c>
      <c r="D118" s="10" t="inlineStr">
        <is>
          <t>SPD-3012 VoP Bulk Checker Iteration 2</t>
        </is>
      </c>
      <c r="E118" s="10" t="inlineStr">
        <is>
          <t>SPD-3326</t>
        </is>
      </c>
      <c r="F118" s="10" t="inlineStr">
        <is>
          <t xml:space="preserve">Clean up infra related old processor and non </t>
        </is>
      </c>
      <c r="G118" s="20" t="n">
        <v>8</v>
      </c>
    </row>
    <row r="119">
      <c r="A119" s="10" t="inlineStr">
        <is>
          <t>Team Ikigai</t>
        </is>
      </c>
      <c r="B119" s="10" t="inlineStr">
        <is>
          <t>Keerthi Shankar</t>
        </is>
      </c>
      <c r="C119" s="10" t="inlineStr">
        <is>
          <t>SPD-3012</t>
        </is>
      </c>
      <c r="D119" s="10" t="inlineStr">
        <is>
          <t>SPD-3012 VoP Bulk Checker Iteration 2</t>
        </is>
      </c>
      <c r="E119" s="10" t="inlineStr">
        <is>
          <t>SPD-3232</t>
        </is>
      </c>
      <c r="F119" s="10" t="inlineStr">
        <is>
          <t>VoP Bulk Checker to pass extra headers for ea</t>
        </is>
      </c>
      <c r="G119" s="20" t="n">
        <v>6.6667</v>
      </c>
    </row>
    <row r="120">
      <c r="A120" s="10" t="inlineStr">
        <is>
          <t>Team Ikigai</t>
        </is>
      </c>
      <c r="B120" s="10" t="inlineStr">
        <is>
          <t>Keerthi Shankar</t>
        </is>
      </c>
      <c r="C120" s="10" t="inlineStr">
        <is>
          <t>SPD-3012</t>
        </is>
      </c>
      <c r="D120" s="10" t="inlineStr">
        <is>
          <t>SPD-3012 VoP Bulk Checker Iteration 2</t>
        </is>
      </c>
      <c r="E120" s="10" t="inlineStr">
        <is>
          <t>SPD-3243</t>
        </is>
      </c>
      <c r="F120" s="10" t="inlineStr">
        <is>
          <t>Enable VoPPlus and switching information in t</t>
        </is>
      </c>
      <c r="G120" s="20" t="n">
        <v>4.6667</v>
      </c>
    </row>
    <row r="121">
      <c r="A121" s="10" t="inlineStr">
        <is>
          <t>Team Ikigai</t>
        </is>
      </c>
      <c r="B121" s="10" t="inlineStr">
        <is>
          <t>Keerthi Shankar</t>
        </is>
      </c>
      <c r="C121" s="10" t="inlineStr">
        <is>
          <t>SPD-3236</t>
        </is>
      </c>
      <c r="D121" s="10" t="inlineStr">
        <is>
          <t>SPD-3236 VoP Bulk Checker performance improvement</t>
        </is>
      </c>
      <c r="E121" s="10" t="inlineStr">
        <is>
          <t>SPD-3277</t>
        </is>
      </c>
      <c r="F121" s="10" t="inlineStr">
        <is>
          <t>Increase the CPU and Memory for the processor</t>
        </is>
      </c>
      <c r="G121" s="20" t="n">
        <v>5.3333</v>
      </c>
    </row>
    <row r="122">
      <c r="A122" s="10" t="inlineStr">
        <is>
          <t>Team Ikigai</t>
        </is>
      </c>
      <c r="B122" s="10" t="inlineStr">
        <is>
          <t>Keerthi Shankar</t>
        </is>
      </c>
      <c r="C122" s="10" t="inlineStr">
        <is>
          <t>SPD-3236</t>
        </is>
      </c>
      <c r="D122" s="10" t="inlineStr">
        <is>
          <t>SPD-3236 VoP Bulk Checker performance improvement</t>
        </is>
      </c>
      <c r="E122" s="10" t="inlineStr">
        <is>
          <t>SPD-3296</t>
        </is>
      </c>
      <c r="F122" s="10" t="inlineStr">
        <is>
          <t>Increase the number of instances, CPU and Mem</t>
        </is>
      </c>
      <c r="G122" s="20" t="n">
        <v>5.3333</v>
      </c>
    </row>
    <row r="123">
      <c r="A123" s="10" t="inlineStr">
        <is>
          <t>Team Ikigai</t>
        </is>
      </c>
      <c r="B123" s="10" t="inlineStr">
        <is>
          <t>Keerthi Shankar</t>
        </is>
      </c>
      <c r="C123" s="10" t="inlineStr">
        <is>
          <t>SPD-3236</t>
        </is>
      </c>
      <c r="D123" s="10" t="inlineStr">
        <is>
          <t>SPD-3236 VoP Bulk Checker performance improvement</t>
        </is>
      </c>
      <c r="E123" s="10" t="inlineStr">
        <is>
          <t>SPD-3275</t>
        </is>
      </c>
      <c r="F123" s="10" t="inlineStr">
        <is>
          <t>Excel files remain in Not Started status afte</t>
        </is>
      </c>
      <c r="G123" s="20" t="n">
        <v>2</v>
      </c>
    </row>
    <row r="124">
      <c r="A124" s="10" t="inlineStr">
        <is>
          <t>Team Ikigai</t>
        </is>
      </c>
      <c r="B124" s="10" t="inlineStr">
        <is>
          <t>Tjibbe van Wier</t>
        </is>
      </c>
      <c r="C124" s="10" t="inlineStr">
        <is>
          <t>SPD-3094</t>
        </is>
      </c>
      <c r="D124" s="10" t="inlineStr">
        <is>
          <t>SPD-3094 VoP Algorithm IPR Ready</t>
        </is>
      </c>
      <c r="E124" s="10" t="inlineStr">
        <is>
          <t>SPD-3288</t>
        </is>
      </c>
      <c r="F124" s="10" t="inlineStr">
        <is>
          <t>Impact analysis on adding rules only for Bank</t>
        </is>
      </c>
      <c r="G124" s="20" t="n">
        <v>56</v>
      </c>
    </row>
    <row r="125">
      <c r="A125" s="10" t="inlineStr">
        <is>
          <t>Team Ikigai</t>
        </is>
      </c>
      <c r="B125" s="10" t="inlineStr">
        <is>
          <t>Chaitanya Sagi</t>
        </is>
      </c>
      <c r="C125" s="10" t="inlineStr">
        <is>
          <t>SPD-3012</t>
        </is>
      </c>
      <c r="D125" s="10" t="inlineStr">
        <is>
          <t>SPD-3012 VoP Bulk Checker Iteration 2</t>
        </is>
      </c>
      <c r="E125" s="10" t="inlineStr">
        <is>
          <t>SPD-3320</t>
        </is>
      </c>
      <c r="F125" s="10" t="inlineStr">
        <is>
          <t xml:space="preserve">Apigee X to WAF vop bulk check whitelisting </t>
        </is>
      </c>
      <c r="G125" s="20" t="n">
        <v>16</v>
      </c>
    </row>
    <row r="126">
      <c r="A126" s="10" t="inlineStr">
        <is>
          <t>Team Ikigai</t>
        </is>
      </c>
      <c r="B126" s="10" t="inlineStr">
        <is>
          <t>Chaitanya Sagi</t>
        </is>
      </c>
      <c r="C126" s="10" t="inlineStr">
        <is>
          <t>SPD-3012</t>
        </is>
      </c>
      <c r="D126" s="10" t="inlineStr">
        <is>
          <t>SPD-3012 VoP Bulk Checker Iteration 2</t>
        </is>
      </c>
      <c r="E126" s="10" t="inlineStr">
        <is>
          <t>SPD-3287</t>
        </is>
      </c>
      <c r="F126" s="10" t="inlineStr">
        <is>
          <t xml:space="preserve">Modify Ips for ASN Bank in ACC for Traefik - </t>
        </is>
      </c>
      <c r="G126" s="20" t="n">
        <v>4.6667</v>
      </c>
    </row>
    <row r="127">
      <c r="A127" s="10" t="inlineStr">
        <is>
          <t>Team Samba</t>
        </is>
      </c>
      <c r="B127" s="10" t="inlineStr">
        <is>
          <t>Mark Whitworth</t>
        </is>
      </c>
      <c r="C127" s="10" t="inlineStr">
        <is>
          <t>SDO-7438</t>
        </is>
      </c>
      <c r="D127" s="10" t="inlineStr">
        <is>
          <t>SDO-7438 VOP Gateway - Enhancements</t>
        </is>
      </c>
      <c r="E127" s="10" t="inlineStr">
        <is>
          <t>SDO-7714</t>
        </is>
      </c>
      <c r="F127" s="10" t="inlineStr">
        <is>
          <t>Create an updated Yaml for VOP Gateway</t>
        </is>
      </c>
      <c r="G127" s="20" t="n">
        <v>37.6</v>
      </c>
    </row>
    <row r="128">
      <c r="A128" s="10" t="inlineStr">
        <is>
          <t>Team Samba</t>
        </is>
      </c>
      <c r="B128" s="10" t="inlineStr">
        <is>
          <t>Mark Whitworth</t>
        </is>
      </c>
      <c r="C128" s="10" t="inlineStr">
        <is>
          <t>SDO-7438</t>
        </is>
      </c>
      <c r="D128" s="10" t="inlineStr">
        <is>
          <t>SDO-7438 VOP Gateway - Enhancements</t>
        </is>
      </c>
      <c r="E128" s="10" t="inlineStr">
        <is>
          <t>SDO-7665</t>
        </is>
      </c>
      <c r="F128" s="10" t="inlineStr">
        <is>
          <t>Create an updated Yaml for the Bank bridge (V</t>
        </is>
      </c>
      <c r="G128" s="20" t="n">
        <v>33.6</v>
      </c>
    </row>
    <row r="129">
      <c r="A129" s="10" t="inlineStr">
        <is>
          <t>Team Samba</t>
        </is>
      </c>
      <c r="B129" s="10" t="inlineStr">
        <is>
          <t>Mark Whitworth</t>
        </is>
      </c>
      <c r="C129" s="10" t="inlineStr">
        <is>
          <t>SDO-7622</t>
        </is>
      </c>
      <c r="D129" s="10" t="inlineStr">
        <is>
          <t>SDO-7622 VOP Performance investigation</t>
        </is>
      </c>
      <c r="E129" s="10" t="inlineStr">
        <is>
          <t>SDO-7848</t>
        </is>
      </c>
      <c r="F129" s="10" t="inlineStr">
        <is>
          <t>Update Adapters config for all onboarded bank</t>
        </is>
      </c>
      <c r="G129" s="20" t="n">
        <v>16</v>
      </c>
    </row>
    <row r="130">
      <c r="A130" s="10" t="inlineStr">
        <is>
          <t>Team Samba</t>
        </is>
      </c>
      <c r="B130" s="10" t="inlineStr">
        <is>
          <t>Mark Whitworth</t>
        </is>
      </c>
      <c r="C130" s="10" t="inlineStr">
        <is>
          <t>SDO-7634</t>
        </is>
      </c>
      <c r="D130" s="10" t="inlineStr">
        <is>
          <t>SDO-7634 BIC Enrichment</t>
        </is>
      </c>
      <c r="E130" s="10" t="inlineStr">
        <is>
          <t>SDO-7653</t>
        </is>
      </c>
      <c r="F130" s="10" t="inlineStr">
        <is>
          <t>Security review</t>
        </is>
      </c>
      <c r="G130" s="20" t="n">
        <v>65.59999999999999</v>
      </c>
    </row>
    <row r="131">
      <c r="A131" s="10" t="inlineStr">
        <is>
          <t>Team Samba</t>
        </is>
      </c>
      <c r="B131" s="10" t="inlineStr">
        <is>
          <t>Mark Whitworth</t>
        </is>
      </c>
      <c r="C131" s="10" t="inlineStr">
        <is>
          <t>SDO-7750</t>
        </is>
      </c>
      <c r="D131" s="10" t="inlineStr">
        <is>
          <t>SDO-7750 Algorithm Pipeline by Responder</t>
        </is>
      </c>
      <c r="E131" s="10" t="inlineStr">
        <is>
          <t>SDO-7749</t>
        </is>
      </c>
      <c r="F131" s="10" t="inlineStr">
        <is>
          <t>[BanksConfig] Add country + tenant to all Ban</t>
        </is>
      </c>
      <c r="G131" s="20" t="n">
        <v>29.6</v>
      </c>
    </row>
    <row r="132">
      <c r="A132" s="10" t="inlineStr">
        <is>
          <t>Team Samba</t>
        </is>
      </c>
      <c r="B132" s="10" t="inlineStr">
        <is>
          <t>Ioannis Argyroulis</t>
        </is>
      </c>
      <c r="C132" s="10" t="inlineStr">
        <is>
          <t>SDO-7144</t>
        </is>
      </c>
      <c r="D132" s="10" t="inlineStr">
        <is>
          <t>SDO-7144 VoP Bank API extended</t>
        </is>
      </c>
      <c r="E132" s="10" t="inlineStr">
        <is>
          <t>SDO-7778</t>
        </is>
      </c>
      <c r="F132" s="10" t="inlineStr">
        <is>
          <t>Validations of X-Request-Timestamp and X-Requ</t>
        </is>
      </c>
      <c r="G132" s="20" t="n">
        <v>47.3333</v>
      </c>
    </row>
    <row r="133">
      <c r="A133" s="10" t="inlineStr">
        <is>
          <t>Team Samba</t>
        </is>
      </c>
      <c r="B133" s="10" t="inlineStr">
        <is>
          <t>Ioannis Argyroulis</t>
        </is>
      </c>
      <c r="C133" s="10" t="inlineStr">
        <is>
          <t>SDO-7144</t>
        </is>
      </c>
      <c r="D133" s="10" t="inlineStr">
        <is>
          <t>SDO-7144 VoP Bank API extended</t>
        </is>
      </c>
      <c r="E133" s="10" t="inlineStr">
        <is>
          <t>SDO-7748</t>
        </is>
      </c>
      <c r="F133" s="10" t="inlineStr">
        <is>
          <t>[Router] Start sending X-Country, X-Tenant an</t>
        </is>
      </c>
      <c r="G133" s="20" t="n">
        <v>8.666700000000001</v>
      </c>
    </row>
    <row r="134">
      <c r="A134" s="10" t="inlineStr">
        <is>
          <t>Team Samba</t>
        </is>
      </c>
      <c r="B134" s="10" t="inlineStr">
        <is>
          <t>Ioannis Argyroulis</t>
        </is>
      </c>
      <c r="C134" s="10" t="inlineStr">
        <is>
          <t>SDO-7438</t>
        </is>
      </c>
      <c r="D134" s="10" t="inlineStr">
        <is>
          <t>SDO-7438 VOP Gateway - Enhancements</t>
        </is>
      </c>
      <c r="E134" s="10" t="inlineStr">
        <is>
          <t>SDO-7742</t>
        </is>
      </c>
      <c r="F134" s="10" t="inlineStr">
        <is>
          <t>Support to Yoda for bank bridge audit migrati</t>
        </is>
      </c>
      <c r="G134" s="20" t="n">
        <v>19.3333</v>
      </c>
    </row>
    <row r="135">
      <c r="A135" s="10" t="inlineStr">
        <is>
          <t>Team Samba</t>
        </is>
      </c>
      <c r="B135" s="10" t="inlineStr">
        <is>
          <t>Ioannis Argyroulis</t>
        </is>
      </c>
      <c r="C135" s="10" t="inlineStr">
        <is>
          <t>SDO-7438</t>
        </is>
      </c>
      <c r="D135" s="10" t="inlineStr">
        <is>
          <t>SDO-7438 VOP Gateway - Enhancements</t>
        </is>
      </c>
      <c r="E135" s="10" t="inlineStr">
        <is>
          <t>SDO-7717</t>
        </is>
      </c>
      <c r="F135" s="10" t="inlineStr">
        <is>
          <t>Make  &lt;bank-id&gt;.api.auth.oAuth2.oAuth2Scope o</t>
        </is>
      </c>
      <c r="G135" s="20" t="n">
        <v>8</v>
      </c>
    </row>
    <row r="136">
      <c r="A136" s="10" t="inlineStr">
        <is>
          <t>Team Samba</t>
        </is>
      </c>
      <c r="B136" s="10" t="inlineStr">
        <is>
          <t>Ioannis Argyroulis</t>
        </is>
      </c>
      <c r="C136" s="10" t="inlineStr">
        <is>
          <t>SDO-7438</t>
        </is>
      </c>
      <c r="D136" s="10" t="inlineStr">
        <is>
          <t>SDO-7438 VOP Gateway - Enhancements</t>
        </is>
      </c>
      <c r="E136" s="10" t="inlineStr">
        <is>
          <t>SDO-7744</t>
        </is>
      </c>
      <c r="F136" s="10" t="inlineStr">
        <is>
          <t>Portal issue - when looking at customer confi</t>
        </is>
      </c>
      <c r="G136" s="20" t="n">
        <v>4.6667</v>
      </c>
    </row>
    <row r="137">
      <c r="A137" s="10" t="inlineStr">
        <is>
          <t>Team Samba</t>
        </is>
      </c>
      <c r="B137" s="10" t="inlineStr">
        <is>
          <t>Ioannis Argyroulis</t>
        </is>
      </c>
      <c r="C137" s="10" t="inlineStr">
        <is>
          <t>SDO-7438</t>
        </is>
      </c>
      <c r="D137" s="10" t="inlineStr">
        <is>
          <t>SDO-7438 VOP Gateway - Enhancements</t>
        </is>
      </c>
      <c r="E137" s="10" t="inlineStr">
        <is>
          <t>SDO-7673</t>
        </is>
      </c>
      <c r="F137" s="10" t="inlineStr">
        <is>
          <t xml:space="preserve">Review and merge NMA PRs from Ikigai (during </t>
        </is>
      </c>
      <c r="G137" s="20" t="n">
        <v>2.6667</v>
      </c>
    </row>
    <row r="138">
      <c r="A138" s="10" t="inlineStr">
        <is>
          <t>Team Samba</t>
        </is>
      </c>
      <c r="B138" s="10" t="inlineStr">
        <is>
          <t>Ioannis Argyroulis</t>
        </is>
      </c>
      <c r="C138" s="10" t="inlineStr">
        <is>
          <t>SDO-7634</t>
        </is>
      </c>
      <c r="D138" s="10" t="inlineStr">
        <is>
          <t>SDO-7634 BIC Enrichment</t>
        </is>
      </c>
      <c r="E138" s="10" t="inlineStr">
        <is>
          <t>SDO-7736</t>
        </is>
      </c>
      <c r="F138" s="10" t="inlineStr">
        <is>
          <t xml:space="preserve">BIC Service - Create integration tests &amp; Fix </t>
        </is>
      </c>
      <c r="G138" s="20" t="n">
        <v>30.6667</v>
      </c>
    </row>
    <row r="139">
      <c r="A139" s="10" t="inlineStr">
        <is>
          <t>Team Samba</t>
        </is>
      </c>
      <c r="B139" s="10" t="inlineStr">
        <is>
          <t>Ioannis Argyroulis</t>
        </is>
      </c>
      <c r="C139" s="10" t="inlineStr">
        <is>
          <t>SDO-7745</t>
        </is>
      </c>
      <c r="D139" s="10" t="inlineStr">
        <is>
          <t>SDO-7745 UnstructuredRemittanceInformation</t>
        </is>
      </c>
      <c r="E139" s="10" t="inlineStr">
        <is>
          <t>SDO-7731</t>
        </is>
      </c>
      <c r="F139" s="10" t="inlineStr">
        <is>
          <t>Update dataprovisioning -&gt; pass unstructuredR</t>
        </is>
      </c>
      <c r="G139" s="20" t="n">
        <v>4</v>
      </c>
    </row>
    <row r="140">
      <c r="A140" s="10" t="inlineStr">
        <is>
          <t>Team Samba</t>
        </is>
      </c>
      <c r="B140" s="10" t="inlineStr">
        <is>
          <t>Sheik Farzand Razi</t>
        </is>
      </c>
      <c r="C140" s="10" t="inlineStr">
        <is>
          <t>SDO-7622</t>
        </is>
      </c>
      <c r="D140" s="10" t="inlineStr">
        <is>
          <t>SDO-7622 VOP Performance investigation</t>
        </is>
      </c>
      <c r="E140" s="10" t="inlineStr">
        <is>
          <t>SDO-7738</t>
        </is>
      </c>
      <c r="F140" s="10" t="inlineStr">
        <is>
          <t>Document Gattling implementation for handover</t>
        </is>
      </c>
      <c r="G140" s="20" t="n">
        <v>44</v>
      </c>
    </row>
    <row r="141">
      <c r="A141" s="10" t="inlineStr">
        <is>
          <t>Team Samba</t>
        </is>
      </c>
      <c r="B141" s="10" t="inlineStr">
        <is>
          <t>Sheik Farzand Razi</t>
        </is>
      </c>
      <c r="C141" s="10" t="inlineStr">
        <is>
          <t>SDO-7634</t>
        </is>
      </c>
      <c r="D141" s="10" t="inlineStr">
        <is>
          <t>SDO-7634 BIC Enrichment</t>
        </is>
      </c>
      <c r="E141" s="10" t="inlineStr">
        <is>
          <t>SDO-7773</t>
        </is>
      </c>
      <c r="F141" s="10" t="inlineStr">
        <is>
          <t>Parameters need to be added to SSM in PRD</t>
        </is>
      </c>
      <c r="G141" s="20" t="n">
        <v>9.333299999999999</v>
      </c>
    </row>
    <row r="142">
      <c r="A142" s="10" t="inlineStr">
        <is>
          <t>Team Samba</t>
        </is>
      </c>
      <c r="B142" s="10" t="inlineStr">
        <is>
          <t>Sheik Farzand Razi</t>
        </is>
      </c>
      <c r="C142" s="10" t="inlineStr">
        <is>
          <t>SDO-7634</t>
        </is>
      </c>
      <c r="D142" s="10" t="inlineStr">
        <is>
          <t>SDO-7634 BIC Enrichment</t>
        </is>
      </c>
      <c r="E142" s="10" t="inlineStr">
        <is>
          <t>SDO-7774</t>
        </is>
      </c>
      <c r="F142" s="10" t="inlineStr">
        <is>
          <t>Create new KMS key for BIC Service</t>
        </is>
      </c>
      <c r="G142" s="20" t="n">
        <v>9.333299999999999</v>
      </c>
    </row>
    <row r="143">
      <c r="A143" s="10" t="inlineStr">
        <is>
          <t>Team Samba</t>
        </is>
      </c>
      <c r="B143" s="10" t="inlineStr">
        <is>
          <t>Sheik Farzand Razi</t>
        </is>
      </c>
      <c r="C143" s="10" t="inlineStr">
        <is>
          <t>SDO-7680</t>
        </is>
      </c>
      <c r="D143" s="10" t="inlineStr">
        <is>
          <t>SDO-7680 Multi region</t>
        </is>
      </c>
      <c r="E143" s="10" t="inlineStr">
        <is>
          <t>SDO-7816</t>
        </is>
      </c>
      <c r="F143" s="10" t="inlineStr">
        <is>
          <t>PR Review for Multi-region</t>
        </is>
      </c>
      <c r="G143" s="20" t="n">
        <v>1</v>
      </c>
    </row>
    <row r="144">
      <c r="A144" s="10" t="inlineStr">
        <is>
          <t>Team Samba</t>
        </is>
      </c>
      <c r="B144" s="10" t="inlineStr">
        <is>
          <t>Orwa Badran</t>
        </is>
      </c>
      <c r="C144" s="10" t="inlineStr">
        <is>
          <t>SDO-7438</t>
        </is>
      </c>
      <c r="D144" s="10" t="inlineStr">
        <is>
          <t>SDO-7438 VOP Gateway - Enhancements</t>
        </is>
      </c>
      <c r="E144" s="10" t="inlineStr">
        <is>
          <t>SDO-7851</t>
        </is>
      </c>
      <c r="F144" s="10" t="inlineStr">
        <is>
          <t>Implement the masking of credit card changes</t>
        </is>
      </c>
      <c r="G144" s="20" t="n">
        <v>2.6667</v>
      </c>
    </row>
    <row r="145">
      <c r="A145" s="10" t="inlineStr">
        <is>
          <t>Team Samba</t>
        </is>
      </c>
      <c r="B145" s="10" t="inlineStr">
        <is>
          <t>Orwa Badran</t>
        </is>
      </c>
      <c r="C145" s="10" t="inlineStr">
        <is>
          <t>SDO-7622</t>
        </is>
      </c>
      <c r="D145" s="10" t="inlineStr">
        <is>
          <t>SDO-7622 VOP Performance investigation</t>
        </is>
      </c>
      <c r="E145" s="10" t="inlineStr">
        <is>
          <t>SDO-7690</t>
        </is>
      </c>
      <c r="F145" s="10" t="inlineStr">
        <is>
          <t>Use switchinfo config to only check elastic f</t>
        </is>
      </c>
      <c r="G145" s="20" t="n">
        <v>50.3333</v>
      </c>
    </row>
    <row r="146">
      <c r="A146" s="10" t="inlineStr">
        <is>
          <t>Team Samba</t>
        </is>
      </c>
      <c r="B146" s="10" t="inlineStr">
        <is>
          <t>Orwa Badran</t>
        </is>
      </c>
      <c r="C146" s="10" t="inlineStr">
        <is>
          <t>SDO-7745</t>
        </is>
      </c>
      <c r="D146" s="10" t="inlineStr">
        <is>
          <t>SDO-7745 UnstructuredRemittanceInformation</t>
        </is>
      </c>
      <c r="E146" s="10" t="inlineStr">
        <is>
          <t>SDO-7724</t>
        </is>
      </c>
      <c r="F146" s="10" t="inlineStr">
        <is>
          <t>[java-organisation-rest-api] Pass unstrtuctur</t>
        </is>
      </c>
      <c r="G146" s="20" t="n">
        <v>8</v>
      </c>
    </row>
    <row r="147">
      <c r="A147" s="10" t="inlineStr">
        <is>
          <t>Team Samba</t>
        </is>
      </c>
      <c r="B147" s="10" t="inlineStr">
        <is>
          <t>Ismail Kuyu</t>
        </is>
      </c>
      <c r="C147" s="10" t="inlineStr">
        <is>
          <t>SDO-7438</t>
        </is>
      </c>
      <c r="D147" s="10" t="inlineStr">
        <is>
          <t>SDO-7438 VOP Gateway - Enhancements</t>
        </is>
      </c>
      <c r="E147" s="10" t="inlineStr">
        <is>
          <t>SDO-7744</t>
        </is>
      </c>
      <c r="F147" s="10" t="inlineStr">
        <is>
          <t>Portal issue - when looking at customer confi</t>
        </is>
      </c>
      <c r="G147" s="20" t="n">
        <v>2</v>
      </c>
    </row>
    <row r="148">
      <c r="A148" s="10" t="inlineStr">
        <is>
          <t>Team Samba</t>
        </is>
      </c>
      <c r="B148" s="10" t="inlineStr">
        <is>
          <t>Ismail Kuyu</t>
        </is>
      </c>
      <c r="C148" s="10" t="inlineStr">
        <is>
          <t>SDO-7622</t>
        </is>
      </c>
      <c r="D148" s="10" t="inlineStr">
        <is>
          <t>SDO-7622 VOP Performance investigation</t>
        </is>
      </c>
      <c r="E148" s="10" t="inlineStr">
        <is>
          <t>SDO-7775</t>
        </is>
      </c>
      <c r="F148" s="10" t="inlineStr">
        <is>
          <t>Implement changes for the AuditEU performance</t>
        </is>
      </c>
      <c r="G148" s="20" t="n">
        <v>24</v>
      </c>
    </row>
    <row r="149">
      <c r="A149" s="10" t="inlineStr">
        <is>
          <t>Team Samba</t>
        </is>
      </c>
      <c r="B149" s="10" t="inlineStr">
        <is>
          <t>Ismail Kuyu</t>
        </is>
      </c>
      <c r="C149" s="10" t="inlineStr">
        <is>
          <t>SDO-7622</t>
        </is>
      </c>
      <c r="D149" s="10" t="inlineStr">
        <is>
          <t>SDO-7622 VOP Performance investigation</t>
        </is>
      </c>
      <c r="E149" s="10" t="inlineStr">
        <is>
          <t>SDO-7746</t>
        </is>
      </c>
      <c r="F149" s="10" t="inlineStr">
        <is>
          <t>Investigate cause of AuditEU inability to pro</t>
        </is>
      </c>
      <c r="G149" s="20" t="n">
        <v>1.3333</v>
      </c>
    </row>
    <row r="150">
      <c r="A150" s="10" t="inlineStr">
        <is>
          <t>Team Samba</t>
        </is>
      </c>
      <c r="B150" s="10" t="inlineStr">
        <is>
          <t>Ismail Kuyu</t>
        </is>
      </c>
      <c r="C150" s="10" t="inlineStr">
        <is>
          <t>SDO-7622</t>
        </is>
      </c>
      <c r="D150" s="10" t="inlineStr">
        <is>
          <t>SDO-7622 VOP Performance investigation</t>
        </is>
      </c>
      <c r="E150" s="10" t="inlineStr">
        <is>
          <t>SDO-7755</t>
        </is>
      </c>
      <c r="F150" s="10" t="inlineStr">
        <is>
          <t>Run performance test in TST against VOP Gatew</t>
        </is>
      </c>
      <c r="G150" s="20" t="n">
        <v>1.3333</v>
      </c>
    </row>
    <row r="151">
      <c r="A151" s="10" t="inlineStr">
        <is>
          <t>Team Samba</t>
        </is>
      </c>
      <c r="B151" s="10" t="inlineStr">
        <is>
          <t>Ismail Kuyu</t>
        </is>
      </c>
      <c r="C151" s="10" t="inlineStr">
        <is>
          <t>SDO-7634</t>
        </is>
      </c>
      <c r="D151" s="10" t="inlineStr">
        <is>
          <t>SDO-7634 BIC Enrichment</t>
        </is>
      </c>
      <c r="E151" s="10" t="inlineStr">
        <is>
          <t>SDO-7656</t>
        </is>
      </c>
      <c r="F151" s="10" t="inlineStr">
        <is>
          <t>Create BIC Enrichment Audit</t>
        </is>
      </c>
      <c r="G151" s="20" t="n">
        <v>17.3333</v>
      </c>
    </row>
    <row r="152">
      <c r="A152" s="10" t="inlineStr">
        <is>
          <t>Team Samba</t>
        </is>
      </c>
      <c r="B152" s="10" t="inlineStr">
        <is>
          <t>Ismail Kuyu</t>
        </is>
      </c>
      <c r="C152" s="10" t="inlineStr">
        <is>
          <t>SDO-7750</t>
        </is>
      </c>
      <c r="D152" s="10" t="inlineStr">
        <is>
          <t>SDO-7750 Algorithm Pipeline by Responder</t>
        </is>
      </c>
      <c r="E152" s="10" t="inlineStr">
        <is>
          <t>SDO-7747</t>
        </is>
      </c>
      <c r="F152" s="10" t="inlineStr">
        <is>
          <t>[Router] Change pipeline to BANK when the pip</t>
        </is>
      </c>
      <c r="G152" s="20" t="n">
        <v>11.3333</v>
      </c>
    </row>
    <row r="153">
      <c r="A153" s="10" t="inlineStr">
        <is>
          <t>Team Samba</t>
        </is>
      </c>
      <c r="B153" s="10" t="inlineStr">
        <is>
          <t>Muhammad Sulaiman</t>
        </is>
      </c>
      <c r="C153" s="10" t="inlineStr">
        <is>
          <t>SDO-5021</t>
        </is>
      </c>
      <c r="D153" s="10" t="inlineStr">
        <is>
          <t xml:space="preserve">SDO-5021 Service Improvements </t>
        </is>
      </c>
      <c r="E153" s="10" t="inlineStr">
        <is>
          <t>SDO-7478</t>
        </is>
      </c>
      <c r="F153" s="10" t="inlineStr">
        <is>
          <t xml:space="preserve">[Automation] monitoring for certs created by </t>
        </is>
      </c>
      <c r="G153" s="20" t="n">
        <v>30.4032</v>
      </c>
    </row>
    <row r="154">
      <c r="A154" s="10" t="inlineStr">
        <is>
          <t>Team Samba</t>
        </is>
      </c>
      <c r="B154" s="10" t="inlineStr">
        <is>
          <t>Muhammad Sulaiman</t>
        </is>
      </c>
      <c r="C154" s="10" t="inlineStr">
        <is>
          <t>SDO-7634</t>
        </is>
      </c>
      <c r="D154" s="10" t="inlineStr">
        <is>
          <t>SDO-7634 BIC Enrichment</t>
        </is>
      </c>
      <c r="E154" s="10" t="inlineStr">
        <is>
          <t>SDO-7770</t>
        </is>
      </c>
      <c r="F154" s="10" t="inlineStr">
        <is>
          <t>SQS Premission - Enable for Audit Logs</t>
        </is>
      </c>
      <c r="G154" s="20" t="n">
        <v>18.4698</v>
      </c>
    </row>
    <row r="155">
      <c r="A155" s="10" t="inlineStr">
        <is>
          <t>Team Samba</t>
        </is>
      </c>
      <c r="B155" s="10" t="inlineStr">
        <is>
          <t>Muhammad Sulaiman</t>
        </is>
      </c>
      <c r="C155" s="10" t="inlineStr">
        <is>
          <t>SDO-7634</t>
        </is>
      </c>
      <c r="D155" s="10" t="inlineStr">
        <is>
          <t>SDO-7634 BIC Enrichment</t>
        </is>
      </c>
      <c r="E155" s="10" t="inlineStr">
        <is>
          <t>SDO-7759</t>
        </is>
      </c>
      <c r="F155" s="10" t="inlineStr">
        <is>
          <t>BIC Service needs permission to write to S3 (</t>
        </is>
      </c>
      <c r="G155" s="20" t="n">
        <v>2.3333</v>
      </c>
    </row>
    <row r="156">
      <c r="A156" s="10" t="inlineStr">
        <is>
          <t>Team Samba</t>
        </is>
      </c>
      <c r="B156" s="10" t="inlineStr">
        <is>
          <t>Muhammad Sulaiman</t>
        </is>
      </c>
      <c r="C156" s="10" t="inlineStr">
        <is>
          <t>SDO-7634</t>
        </is>
      </c>
      <c r="D156" s="10" t="inlineStr">
        <is>
          <t>SDO-7634 BIC Enrichment</t>
        </is>
      </c>
      <c r="E156" s="10" t="inlineStr">
        <is>
          <t>SDO-7776</t>
        </is>
      </c>
      <c r="F156" s="10" t="inlineStr">
        <is>
          <t>Enable SWIFT  bic service for production</t>
        </is>
      </c>
      <c r="G156" s="20" t="n">
        <v>1.6889</v>
      </c>
    </row>
    <row r="157">
      <c r="A157" s="10" t="inlineStr">
        <is>
          <t>Team Samba</t>
        </is>
      </c>
      <c r="B157" s="10" t="inlineStr">
        <is>
          <t>Muhammad Sulaiman</t>
        </is>
      </c>
      <c r="C157" s="10" t="inlineStr">
        <is>
          <t>SDO-7634</t>
        </is>
      </c>
      <c r="D157" s="10" t="inlineStr">
        <is>
          <t>SDO-7634 BIC Enrichment</t>
        </is>
      </c>
      <c r="E157" s="10" t="inlineStr">
        <is>
          <t>SDO-7782</t>
        </is>
      </c>
      <c r="F157" s="10" t="inlineStr">
        <is>
          <t>Wrong SSM - in ACC</t>
        </is>
      </c>
      <c r="G157" s="20" t="n">
        <v>0.8</v>
      </c>
    </row>
    <row r="158">
      <c r="A158" s="10" t="inlineStr">
        <is>
          <t>Team Samba</t>
        </is>
      </c>
      <c r="B158" s="10" t="inlineStr">
        <is>
          <t>Kumar Kannan</t>
        </is>
      </c>
      <c r="C158" s="10" t="inlineStr">
        <is>
          <t>SDO-7622</t>
        </is>
      </c>
      <c r="D158" s="10" t="inlineStr">
        <is>
          <t>SDO-7622 VOP Performance investigation</t>
        </is>
      </c>
      <c r="E158" s="10" t="inlineStr">
        <is>
          <t>SDO-7729</t>
        </is>
      </c>
      <c r="F158" s="10" t="inlineStr">
        <is>
          <t xml:space="preserve">Customize Gatling to be able to use for bank </t>
        </is>
      </c>
      <c r="G158" s="20" t="n">
        <v>23.127</v>
      </c>
    </row>
    <row r="159">
      <c r="A159" s="10" t="inlineStr">
        <is>
          <t>Team Samba</t>
        </is>
      </c>
      <c r="B159" s="10" t="inlineStr">
        <is>
          <t>Kumar Kannan</t>
        </is>
      </c>
      <c r="C159" s="10" t="inlineStr">
        <is>
          <t>SDO-7622</t>
        </is>
      </c>
      <c r="D159" s="10" t="inlineStr">
        <is>
          <t>SDO-7622 VOP Performance investigation</t>
        </is>
      </c>
      <c r="E159" s="10" t="inlineStr">
        <is>
          <t>SDO-7765</t>
        </is>
      </c>
      <c r="F159" s="10" t="inlineStr">
        <is>
          <t>[QA] - Gatling - Configuration and Test Execu</t>
        </is>
      </c>
      <c r="G159" s="20" t="n">
        <v>9.8317</v>
      </c>
    </row>
    <row r="160">
      <c r="A160" s="10" t="inlineStr">
        <is>
          <t>Team Samba</t>
        </is>
      </c>
      <c r="B160" s="10" t="inlineStr">
        <is>
          <t>Kumar Kannan</t>
        </is>
      </c>
      <c r="C160" s="10" t="inlineStr">
        <is>
          <t>SDO-7634</t>
        </is>
      </c>
      <c r="D160" s="10" t="inlineStr">
        <is>
          <t>SDO-7634 BIC Enrichment</t>
        </is>
      </c>
      <c r="E160" s="10" t="inlineStr">
        <is>
          <t>SDO-7654</t>
        </is>
      </c>
      <c r="F160" s="10" t="inlineStr">
        <is>
          <t>QA - BIC Enrichment Service</t>
        </is>
      </c>
      <c r="G160" s="20" t="n">
        <v>5.3333</v>
      </c>
    </row>
    <row r="161">
      <c r="A161" s="10" t="inlineStr">
        <is>
          <t>Team Samba</t>
        </is>
      </c>
      <c r="B161" s="10" t="inlineStr">
        <is>
          <t>Kumar Kannan</t>
        </is>
      </c>
      <c r="C161" s="10" t="inlineStr">
        <is>
          <t>SDO-7634</t>
        </is>
      </c>
      <c r="D161" s="10" t="inlineStr">
        <is>
          <t>SDO-7634 BIC Enrichment</t>
        </is>
      </c>
      <c r="E161" s="10" t="inlineStr">
        <is>
          <t>SDO-7772</t>
        </is>
      </c>
      <c r="F161" s="10" t="inlineStr">
        <is>
          <t>accountId.bic is null and BIC enrichment is n</t>
        </is>
      </c>
      <c r="G161" s="20" t="n">
        <v>2.4762</v>
      </c>
    </row>
    <row r="162">
      <c r="A162" s="10" t="inlineStr">
        <is>
          <t>Team Samba</t>
        </is>
      </c>
      <c r="B162" s="10" t="inlineStr">
        <is>
          <t>Kumar Kannan</t>
        </is>
      </c>
      <c r="C162" s="10" t="inlineStr">
        <is>
          <t>SDO-7634</t>
        </is>
      </c>
      <c r="D162" s="10" t="inlineStr">
        <is>
          <t>SDO-7634 BIC Enrichment</t>
        </is>
      </c>
      <c r="E162" s="10" t="inlineStr">
        <is>
          <t>SDO-7782</t>
        </is>
      </c>
      <c r="F162" s="10" t="inlineStr">
        <is>
          <t>Wrong SSM - in ACC</t>
        </is>
      </c>
      <c r="G162" s="20" t="n">
        <v>1.1429</v>
      </c>
    </row>
    <row r="163">
      <c r="A163" s="10" t="inlineStr">
        <is>
          <t>Team Samba</t>
        </is>
      </c>
      <c r="B163" s="10" t="inlineStr">
        <is>
          <t>Manali Shah</t>
        </is>
      </c>
      <c r="C163" s="10" t="inlineStr">
        <is>
          <t>SDO-7438</t>
        </is>
      </c>
      <c r="D163" s="10" t="inlineStr">
        <is>
          <t>SDO-7438 VOP Gateway - Enhancements</t>
        </is>
      </c>
      <c r="E163" s="10" t="inlineStr">
        <is>
          <t>SDO-7673</t>
        </is>
      </c>
      <c r="F163" s="10" t="inlineStr">
        <is>
          <t xml:space="preserve">Review and merge NMA PRs from Ikigai (during </t>
        </is>
      </c>
      <c r="G163" s="20" t="n">
        <v>8</v>
      </c>
    </row>
    <row r="164">
      <c r="A164" s="10" t="inlineStr">
        <is>
          <t>YODA</t>
        </is>
      </c>
      <c r="B164" s="10" t="inlineStr">
        <is>
          <t>Marin Onofrei</t>
        </is>
      </c>
      <c r="C164" s="10" t="inlineStr">
        <is>
          <t>YODA-1413</t>
        </is>
      </c>
      <c r="D164" s="10" t="inlineStr">
        <is>
          <t>YODA-1413 OPA VOP for JPM</t>
        </is>
      </c>
      <c r="E164" s="10" t="inlineStr">
        <is>
          <t>YODA-1584</t>
        </is>
      </c>
      <c r="F164" s="10" t="inlineStr">
        <is>
          <t xml:space="preserve">Performance test with Gatling </t>
        </is>
      </c>
      <c r="G164" s="20" t="n">
        <v>152</v>
      </c>
    </row>
    <row r="165">
      <c r="A165" s="10" t="inlineStr">
        <is>
          <t>YODA</t>
        </is>
      </c>
      <c r="B165" s="10" t="inlineStr">
        <is>
          <t>Marin Onofrei</t>
        </is>
      </c>
      <c r="C165" s="10" t="inlineStr">
        <is>
          <t>YODA-1413</t>
        </is>
      </c>
      <c r="D165" s="10" t="inlineStr">
        <is>
          <t>YODA-1413 OPA VOP for JPM</t>
        </is>
      </c>
      <c r="E165" s="10" t="inlineStr">
        <is>
          <t>YODA-1616</t>
        </is>
      </c>
      <c r="F165" s="10" t="inlineStr">
        <is>
          <t>[ACC] Renew certificate UK and upload for bot</t>
        </is>
      </c>
      <c r="G165" s="20" t="n">
        <v>24</v>
      </c>
    </row>
    <row r="166">
      <c r="A166" s="10" t="inlineStr">
        <is>
          <t>YODA</t>
        </is>
      </c>
      <c r="B166" s="10" t="inlineStr">
        <is>
          <t>Parth Mewada</t>
        </is>
      </c>
      <c r="C166" s="10" t="inlineStr">
        <is>
          <t>YODA-1413</t>
        </is>
      </c>
      <c r="D166" s="10" t="inlineStr">
        <is>
          <t>YODA-1413 OPA VOP for JPM</t>
        </is>
      </c>
      <c r="E166" s="10" t="inlineStr">
        <is>
          <t>YODA-1640</t>
        </is>
      </c>
      <c r="F166" s="10" t="inlineStr">
        <is>
          <t>Configure Traefik and connection to JPM AVS s</t>
        </is>
      </c>
      <c r="G166" s="20" t="n">
        <v>10.6667</v>
      </c>
    </row>
    <row r="167">
      <c r="A167" s="10" t="inlineStr">
        <is>
          <t>YODA</t>
        </is>
      </c>
      <c r="B167" s="10" t="inlineStr">
        <is>
          <t>Parth Mewada</t>
        </is>
      </c>
      <c r="C167" s="10" t="inlineStr">
        <is>
          <t>YODA-1413</t>
        </is>
      </c>
      <c r="D167" s="10" t="inlineStr">
        <is>
          <t>YODA-1413 OPA VOP for JPM</t>
        </is>
      </c>
      <c r="E167" s="10" t="inlineStr">
        <is>
          <t>YODA-1616</t>
        </is>
      </c>
      <c r="F167" s="10" t="inlineStr">
        <is>
          <t>[ACC] Renew certificate UK and upload for bot</t>
        </is>
      </c>
      <c r="G167" s="20" t="n">
        <v>4.6667</v>
      </c>
    </row>
    <row r="168">
      <c r="A168" s="10" t="inlineStr">
        <is>
          <t>YODA</t>
        </is>
      </c>
      <c r="B168" s="10" t="inlineStr">
        <is>
          <t>Parth Mewada</t>
        </is>
      </c>
      <c r="C168" s="10" t="inlineStr">
        <is>
          <t>YODA-1429</t>
        </is>
      </c>
      <c r="D168" s="10" t="inlineStr">
        <is>
          <t>YODA-1429 [Audit] Backup strategy</t>
        </is>
      </c>
      <c r="E168" s="10" t="inlineStr">
        <is>
          <t>YODA-1435</t>
        </is>
      </c>
      <c r="F168" s="10" t="inlineStr">
        <is>
          <t>[Backup-lambda] Add notifications to lambda o</t>
        </is>
      </c>
      <c r="G168" s="20" t="n">
        <v>67.7333</v>
      </c>
    </row>
    <row r="169">
      <c r="A169" s="10" t="inlineStr">
        <is>
          <t>YODA</t>
        </is>
      </c>
      <c r="B169" s="10" t="inlineStr">
        <is>
          <t>Parth Mewada</t>
        </is>
      </c>
      <c r="C169" s="10" t="inlineStr">
        <is>
          <t>YODA-1565</t>
        </is>
      </c>
      <c r="D169" s="10" t="inlineStr">
        <is>
          <t>YODA-1565 [Audit] Add second cluster: Ireland</t>
        </is>
      </c>
      <c r="E169" s="10" t="inlineStr">
        <is>
          <t>YODA-1645</t>
        </is>
      </c>
      <c r="F169" s="10" t="inlineStr">
        <is>
          <t>[ACC] Create all VOP Audit clusters with corr</t>
        </is>
      </c>
      <c r="G169" s="20" t="n">
        <v>11.0667</v>
      </c>
    </row>
    <row r="170">
      <c r="A170" s="10" t="inlineStr">
        <is>
          <t>YODA</t>
        </is>
      </c>
      <c r="B170" s="10" t="inlineStr">
        <is>
          <t>Parth Mewada</t>
        </is>
      </c>
      <c r="C170" s="10" t="inlineStr">
        <is>
          <t>YODA-1565</t>
        </is>
      </c>
      <c r="D170" s="10" t="inlineStr">
        <is>
          <t>YODA-1565 [Audit] Add second cluster: Ireland</t>
        </is>
      </c>
      <c r="E170" s="10" t="inlineStr">
        <is>
          <t>YODA-1651</t>
        </is>
      </c>
      <c r="F170" s="10" t="inlineStr">
        <is>
          <t>Configure URLs to resolve to the correct clus</t>
        </is>
      </c>
      <c r="G170" s="20" t="n">
        <v>8.4</v>
      </c>
    </row>
    <row r="171">
      <c r="A171" s="10" t="inlineStr">
        <is>
          <t>YODA</t>
        </is>
      </c>
      <c r="B171" s="10" t="inlineStr">
        <is>
          <t>Parth Mewada</t>
        </is>
      </c>
      <c r="C171" s="10" t="inlineStr">
        <is>
          <t>YODA-1565</t>
        </is>
      </c>
      <c r="D171" s="10" t="inlineStr">
        <is>
          <t>YODA-1565 [Audit] Add second cluster: Ireland</t>
        </is>
      </c>
      <c r="E171" s="10" t="inlineStr">
        <is>
          <t>YODA-1649</t>
        </is>
      </c>
      <c r="F171" s="10" t="inlineStr">
        <is>
          <t>Update ACC FluentD</t>
        </is>
      </c>
      <c r="G171" s="20" t="n">
        <v>6.4</v>
      </c>
    </row>
    <row r="172">
      <c r="A172" s="10" t="inlineStr">
        <is>
          <t>YODA</t>
        </is>
      </c>
      <c r="B172" s="10" t="inlineStr">
        <is>
          <t>Parth Mewada</t>
        </is>
      </c>
      <c r="C172" s="10" t="inlineStr">
        <is>
          <t>YODA-1565</t>
        </is>
      </c>
      <c r="D172" s="10" t="inlineStr">
        <is>
          <t>YODA-1565 [Audit] Add second cluster: Ireland</t>
        </is>
      </c>
      <c r="E172" s="10" t="inlineStr">
        <is>
          <t>YODA-1650</t>
        </is>
      </c>
      <c r="F172" s="10" t="inlineStr">
        <is>
          <t>Configure ACC Clusters</t>
        </is>
      </c>
      <c r="G172" s="20" t="n">
        <v>6.4</v>
      </c>
    </row>
    <row r="173">
      <c r="A173" s="10" t="inlineStr">
        <is>
          <t>YODA</t>
        </is>
      </c>
      <c r="B173" s="10" t="inlineStr">
        <is>
          <t>Ramseshu Ghanta</t>
        </is>
      </c>
      <c r="C173" s="10" t="inlineStr">
        <is>
          <t>YODA-1413</t>
        </is>
      </c>
      <c r="D173" s="10" t="inlineStr">
        <is>
          <t>YODA-1413 OPA VOP for JPM</t>
        </is>
      </c>
      <c r="E173" s="10" t="inlineStr">
        <is>
          <t>YODA-1658</t>
        </is>
      </c>
      <c r="F173" s="10" t="inlineStr">
        <is>
          <t>[OPA UK eu?] Security review</t>
        </is>
      </c>
      <c r="G173" s="20" t="n">
        <v>32</v>
      </c>
    </row>
    <row r="174">
      <c r="A174" s="10" t="inlineStr">
        <is>
          <t>YODA</t>
        </is>
      </c>
      <c r="B174" s="10" t="inlineStr">
        <is>
          <t>Ramseshu Ghanta</t>
        </is>
      </c>
      <c r="C174" s="10" t="inlineStr">
        <is>
          <t>YODA-1413</t>
        </is>
      </c>
      <c r="D174" s="10" t="inlineStr">
        <is>
          <t>YODA-1413 OPA VOP for JPM</t>
        </is>
      </c>
      <c r="E174" s="10" t="inlineStr">
        <is>
          <t>YODA-1583</t>
        </is>
      </c>
      <c r="F174" s="10" t="inlineStr">
        <is>
          <t>Security review</t>
        </is>
      </c>
      <c r="G174" s="20" t="n">
        <v>22.6667</v>
      </c>
    </row>
    <row r="175">
      <c r="A175" s="10" t="inlineStr">
        <is>
          <t>YODA</t>
        </is>
      </c>
      <c r="B175" s="10" t="inlineStr">
        <is>
          <t>Ramseshu Ghanta</t>
        </is>
      </c>
      <c r="C175" s="10" t="inlineStr">
        <is>
          <t>YODA-1413</t>
        </is>
      </c>
      <c r="D175" s="10" t="inlineStr">
        <is>
          <t>YODA-1413 OPA VOP for JPM</t>
        </is>
      </c>
      <c r="E175" s="10" t="inlineStr">
        <is>
          <t>YODA-1684</t>
        </is>
      </c>
      <c r="F175" s="10" t="inlineStr">
        <is>
          <t>[OPA] Add the accountNumberType: IBAN field i</t>
        </is>
      </c>
      <c r="G175" s="20" t="n">
        <v>8</v>
      </c>
    </row>
    <row r="176">
      <c r="A176" s="10" t="inlineStr">
        <is>
          <t>YODA</t>
        </is>
      </c>
      <c r="B176" s="10" t="inlineStr">
        <is>
          <t>Richard Oliver</t>
        </is>
      </c>
      <c r="C176" s="10" t="inlineStr">
        <is>
          <t>YODA-1413</t>
        </is>
      </c>
      <c r="D176" s="10" t="inlineStr">
        <is>
          <t>YODA-1413 OPA VOP for JPM</t>
        </is>
      </c>
      <c r="E176" s="10" t="inlineStr">
        <is>
          <t>YODA-1674</t>
        </is>
      </c>
      <c r="F176" s="10" t="inlineStr">
        <is>
          <t>[PRD] Renew certificate UK and upload for bot</t>
        </is>
      </c>
      <c r="G176" s="20" t="n">
        <v>22.1333</v>
      </c>
    </row>
    <row r="177">
      <c r="A177" s="10" t="inlineStr">
        <is>
          <t>YODA</t>
        </is>
      </c>
      <c r="B177" s="10" t="inlineStr">
        <is>
          <t>Richard Oliver</t>
        </is>
      </c>
      <c r="C177" s="10" t="inlineStr">
        <is>
          <t>YODA-1413</t>
        </is>
      </c>
      <c r="D177" s="10" t="inlineStr">
        <is>
          <t>YODA-1413 OPA VOP for JPM</t>
        </is>
      </c>
      <c r="E177" s="10" t="inlineStr">
        <is>
          <t>YODA-1629</t>
        </is>
      </c>
      <c r="F177" s="10" t="inlineStr">
        <is>
          <t>OPA - Invoker lambda for testing</t>
        </is>
      </c>
      <c r="G177" s="20" t="n">
        <v>20.2667</v>
      </c>
    </row>
    <row r="178">
      <c r="A178" s="10" t="inlineStr">
        <is>
          <t>YODA</t>
        </is>
      </c>
      <c r="B178" s="10" t="inlineStr">
        <is>
          <t>Richard Oliver</t>
        </is>
      </c>
      <c r="C178" s="10" t="inlineStr">
        <is>
          <t>YODA-1413</t>
        </is>
      </c>
      <c r="D178" s="10" t="inlineStr">
        <is>
          <t>YODA-1413 OPA VOP for JPM</t>
        </is>
      </c>
      <c r="E178" s="10" t="inlineStr">
        <is>
          <t>YODA-1616</t>
        </is>
      </c>
      <c r="F178" s="10" t="inlineStr">
        <is>
          <t>[ACC] Renew certificate UK and upload for bot</t>
        </is>
      </c>
      <c r="G178" s="20" t="n">
        <v>19.6</v>
      </c>
    </row>
    <row r="179">
      <c r="A179" s="10" t="inlineStr">
        <is>
          <t>YODA</t>
        </is>
      </c>
      <c r="B179" s="10" t="inlineStr">
        <is>
          <t>Mark Moorcroft</t>
        </is>
      </c>
      <c r="C179" s="10" t="inlineStr">
        <is>
          <t>YODA-1565</t>
        </is>
      </c>
      <c r="D179" s="10" t="inlineStr">
        <is>
          <t>YODA-1565 [Audit] Add second cluster: Ireland</t>
        </is>
      </c>
      <c r="E179" s="10" t="inlineStr">
        <is>
          <t>YODA-1652</t>
        </is>
      </c>
      <c r="F179" s="10" t="inlineStr">
        <is>
          <t>Add applications to Auth0</t>
        </is>
      </c>
      <c r="G179" s="20" t="n">
        <v>16</v>
      </c>
    </row>
    <row r="180">
      <c r="A180" s="10" t="inlineStr">
        <is>
          <t>YODA</t>
        </is>
      </c>
      <c r="B180" s="10" t="inlineStr">
        <is>
          <t>Mark Moorcroft</t>
        </is>
      </c>
      <c r="C180" s="10" t="inlineStr">
        <is>
          <t>YODA-1565</t>
        </is>
      </c>
      <c r="D180" s="10" t="inlineStr">
        <is>
          <t>YODA-1565 [Audit] Add second cluster: Ireland</t>
        </is>
      </c>
      <c r="E180" s="10" t="inlineStr">
        <is>
          <t>YODA-1646</t>
        </is>
      </c>
      <c r="F180" s="10" t="inlineStr">
        <is>
          <t>[PRD] Create all VOP Audit clusters</t>
        </is>
      </c>
      <c r="G180" s="20" t="n">
        <v>6</v>
      </c>
    </row>
    <row r="181">
      <c r="A181" s="10" t="inlineStr">
        <is>
          <t>YODA</t>
        </is>
      </c>
      <c r="B181" s="10" t="inlineStr">
        <is>
          <t>Shrikant Patil</t>
        </is>
      </c>
      <c r="C181" s="10" t="inlineStr">
        <is>
          <t>YODA-1413</t>
        </is>
      </c>
      <c r="D181" s="10" t="inlineStr">
        <is>
          <t>YODA-1413 OPA VOP for JPM</t>
        </is>
      </c>
      <c r="E181" s="10" t="inlineStr">
        <is>
          <t>YODA-1640</t>
        </is>
      </c>
      <c r="F181" s="10" t="inlineStr">
        <is>
          <t>Configure Traefik and connection to JPM AVS s</t>
        </is>
      </c>
      <c r="G181" s="20" t="n">
        <v>5.3333</v>
      </c>
    </row>
    <row r="182">
      <c r="A182" s="10" t="inlineStr">
        <is>
          <t>YODA</t>
        </is>
      </c>
      <c r="B182" s="10" t="inlineStr">
        <is>
          <t>Shrikant Patil</t>
        </is>
      </c>
      <c r="C182" s="10" t="inlineStr">
        <is>
          <t>YODA-1413</t>
        </is>
      </c>
      <c r="D182" s="10" t="inlineStr">
        <is>
          <t>YODA-1413 OPA VOP for JPM</t>
        </is>
      </c>
      <c r="E182" s="10" t="inlineStr">
        <is>
          <t>YODA-1674</t>
        </is>
      </c>
      <c r="F182" s="10" t="inlineStr">
        <is>
          <t>[PRD] Renew certificate UK and upload for bot</t>
        </is>
      </c>
      <c r="G182" s="20" t="n">
        <v>5.3333</v>
      </c>
    </row>
    <row r="184">
      <c r="F184" s="3" t="inlineStr">
        <is>
          <t>TOTAL</t>
        </is>
      </c>
      <c r="G184" s="15">
        <f>SUM(G4:G182)</f>
        <v/>
      </c>
    </row>
  </sheetData>
  <autoFilter ref="A3:G1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PT-350</t>
        </is>
      </c>
      <c r="C4" s="10" t="inlineStr">
        <is>
          <t>Absent from the mapping CSV entirely</t>
        </is>
      </c>
      <c r="D4" s="10" t="inlineStr">
        <is>
          <t>PT-233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PT-57</t>
        </is>
      </c>
      <c r="C5" s="10" t="inlineStr">
        <is>
          <t>Absent from the mapping CSV entirely</t>
        </is>
      </c>
      <c r="D5" s="10" t="inlineStr">
        <is>
          <t>PT-90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SUK-1438</t>
        </is>
      </c>
      <c r="C6" s="10" t="inlineStr">
        <is>
          <t>Absent from the mapping CSV entirely</t>
        </is>
      </c>
      <c r="D6" s="10" t="inlineStr">
        <is>
          <t>SUK-1557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SUK-2339</t>
        </is>
      </c>
      <c r="C7" s="10" t="inlineStr">
        <is>
          <t>Absent from the mapping CSV entirely</t>
        </is>
      </c>
      <c r="D7" s="10" t="inlineStr">
        <is>
          <t>SUK-3511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SUK-4741</t>
        </is>
      </c>
      <c r="C8" s="10" t="inlineStr">
        <is>
          <t>Absent from the mapping CSV entirely</t>
        </is>
      </c>
      <c r="D8" s="10" t="inlineStr">
        <is>
          <t>SUK-4751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SUK-6070</t>
        </is>
      </c>
      <c r="C9" s="10" t="inlineStr">
        <is>
          <t>Absent from the mapping CSV entirely</t>
        </is>
      </c>
      <c r="D9" s="10" t="inlineStr">
        <is>
          <t>SUK-5456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SUK-6076</t>
        </is>
      </c>
      <c r="C10" s="10" t="inlineStr">
        <is>
          <t>Absent from the mapping CSV entirely</t>
        </is>
      </c>
      <c r="D10" s="10" t="inlineStr">
        <is>
          <t>SUK-5097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Ikigai</t>
        </is>
      </c>
      <c r="B11" s="10" t="inlineStr">
        <is>
          <t>SPD-3452</t>
        </is>
      </c>
      <c r="C11" s="10" t="inlineStr">
        <is>
          <t>Absent from the mapping CSV entirely</t>
        </is>
      </c>
      <c r="D11" s="10" t="inlineStr">
        <is>
          <t>SPD-3183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Samba</t>
        </is>
      </c>
      <c r="B12" s="10" t="inlineStr">
        <is>
          <t>SDO-8170</t>
        </is>
      </c>
      <c r="C12" s="10" t="inlineStr">
        <is>
          <t>Absent from the mapping CSV entirely</t>
        </is>
      </c>
      <c r="D12" s="10" t="inlineStr">
        <is>
          <t>SDO-7265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Samba</t>
        </is>
      </c>
      <c r="B13" s="10" t="inlineStr">
        <is>
          <t>SDO-8305</t>
        </is>
      </c>
      <c r="C13" s="10" t="inlineStr">
        <is>
          <t>Absent from the mapping CSV entirely</t>
        </is>
      </c>
      <c r="D13" s="10" t="inlineStr">
        <is>
          <t>SDO-5668</t>
        </is>
      </c>
      <c r="E13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2026-08-21T17:32:02Z</dcterms:created>
  <dcterms:modified xsi:type="dcterms:W3CDTF">2026-08-21T17:32:02Z</dcterms:modified>
</cp:coreProperties>
</file>